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TU\manuscript\20250914WaterWavesNwaveNum\data\"/>
    </mc:Choice>
  </mc:AlternateContent>
  <xr:revisionPtr revIDLastSave="0" documentId="13_ncr:1_{3FE5E0B5-27DD-461A-8F65-7EF60CA5F6AE}" xr6:coauthVersionLast="47" xr6:coauthVersionMax="47" xr10:uidLastSave="{00000000-0000-0000-0000-000000000000}"/>
  <bookViews>
    <workbookView xWindow="-100" yWindow="-100" windowWidth="21467" windowHeight="11565" tabRatio="775" xr2:uid="{00000000-000D-0000-FFFF-FFFF00000000}"/>
  </bookViews>
  <sheets>
    <sheet name="info" sheetId="11" r:id="rId1"/>
    <sheet name="soli-slope10" sheetId="1" r:id="rId2"/>
    <sheet name="soli-slope10B" sheetId="7" r:id="rId3"/>
    <sheet name="soli-slope20" sheetId="3" r:id="rId4"/>
    <sheet name="soli-slope40" sheetId="4" r:id="rId5"/>
    <sheet name="LDN-parameters" sheetId="10" r:id="rId6"/>
    <sheet name="LDN-slope10" sheetId="2" r:id="rId7"/>
    <sheet name="LDN-slope10B" sheetId="8" r:id="rId8"/>
    <sheet name="LDN-slope20" sheetId="5" r:id="rId9"/>
    <sheet name="LDN-slope40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8" l="1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26" i="8"/>
  <c r="F25" i="8"/>
  <c r="F24" i="8"/>
  <c r="F23" i="8"/>
  <c r="F22" i="8"/>
  <c r="F21" i="8"/>
  <c r="F20" i="8"/>
  <c r="F19" i="8"/>
  <c r="F18" i="8"/>
  <c r="F17" i="8"/>
  <c r="F12" i="8"/>
  <c r="F11" i="8"/>
  <c r="F10" i="8"/>
  <c r="F9" i="8"/>
  <c r="F8" i="8"/>
  <c r="F7" i="8"/>
  <c r="F6" i="8"/>
  <c r="F5" i="8"/>
  <c r="F4" i="8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28" i="6"/>
  <c r="F27" i="6"/>
  <c r="F26" i="6"/>
  <c r="F25" i="6"/>
  <c r="F24" i="6"/>
  <c r="F23" i="6"/>
  <c r="F22" i="6"/>
  <c r="F21" i="6"/>
  <c r="F20" i="6"/>
  <c r="F19" i="6"/>
  <c r="F18" i="6"/>
  <c r="F17" i="6"/>
  <c r="F12" i="6"/>
  <c r="F11" i="6"/>
  <c r="F10" i="6"/>
  <c r="F9" i="6"/>
  <c r="F8" i="6"/>
  <c r="F7" i="6"/>
  <c r="F6" i="6"/>
  <c r="F5" i="6"/>
  <c r="F4" i="6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28" i="5"/>
  <c r="F27" i="5"/>
  <c r="F26" i="5"/>
  <c r="F25" i="5"/>
  <c r="F24" i="5"/>
  <c r="F23" i="5"/>
  <c r="F22" i="5"/>
  <c r="F21" i="5"/>
  <c r="F20" i="5"/>
  <c r="F19" i="5"/>
  <c r="F18" i="5"/>
  <c r="F17" i="5"/>
  <c r="F12" i="5"/>
  <c r="F11" i="5"/>
  <c r="F10" i="5"/>
  <c r="F9" i="5"/>
  <c r="F8" i="5"/>
  <c r="F7" i="5"/>
  <c r="F6" i="5"/>
  <c r="F5" i="5"/>
  <c r="F4" i="5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91" i="2" l="1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28" i="2"/>
  <c r="F27" i="2"/>
  <c r="F26" i="2"/>
  <c r="F25" i="2"/>
  <c r="F24" i="2"/>
  <c r="F23" i="2"/>
  <c r="F22" i="2"/>
  <c r="F21" i="2"/>
  <c r="F20" i="2"/>
  <c r="F19" i="2"/>
  <c r="F18" i="2"/>
  <c r="F17" i="2"/>
  <c r="F12" i="2"/>
  <c r="F11" i="2"/>
  <c r="F10" i="2"/>
  <c r="F9" i="2"/>
  <c r="F8" i="2"/>
  <c r="F7" i="2"/>
  <c r="F6" i="2"/>
  <c r="F5" i="2"/>
  <c r="F4" i="2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<sst xmlns="http://schemas.openxmlformats.org/spreadsheetml/2006/main" count="663" uniqueCount="141">
  <si>
    <t>R/h</t>
  </si>
  <si>
    <t>a3/h</t>
  </si>
  <si>
    <t>case no.</t>
  </si>
  <si>
    <t>LDN type</t>
  </si>
  <si>
    <t>energy of incident wave (per width in y dir., J/m)</t>
  </si>
  <si>
    <t>energy loss during runup (per width in y dir., J/m)</t>
  </si>
  <si>
    <t>1: type A LDN; 2: type B LDN; 3: type C LDN</t>
  </si>
  <si>
    <t>relative energy loss (Eloss/Ein*100%)</t>
  </si>
  <si>
    <t>E_{loss,r}</t>
  </si>
  <si>
    <t>E_{loss}</t>
  </si>
  <si>
    <t>E_{in}</t>
  </si>
  <si>
    <t>max. shoreline hori. speed normalized by \sqrt{gh}</t>
  </si>
  <si>
    <t>max(Us)/C</t>
  </si>
  <si>
    <t>N01n</t>
  </si>
  <si>
    <t>N02n</t>
  </si>
  <si>
    <t>N03n</t>
  </si>
  <si>
    <t>N04n</t>
  </si>
  <si>
    <t>N05n</t>
  </si>
  <si>
    <t>N06n</t>
  </si>
  <si>
    <t>N07n</t>
  </si>
  <si>
    <t>N08n</t>
  </si>
  <si>
    <t>N09n</t>
  </si>
  <si>
    <t>N10n</t>
  </si>
  <si>
    <t>N11n</t>
  </si>
  <si>
    <t>N12n</t>
  </si>
  <si>
    <t>N13n</t>
  </si>
  <si>
    <t>N14n</t>
  </si>
  <si>
    <t>N15n</t>
  </si>
  <si>
    <t>N16n</t>
  </si>
  <si>
    <t>N17n</t>
  </si>
  <si>
    <t>N18n</t>
  </si>
  <si>
    <t>N19n</t>
  </si>
  <si>
    <t>N20n</t>
  </si>
  <si>
    <t>N21n</t>
  </si>
  <si>
    <t>N22n</t>
  </si>
  <si>
    <t>N23n</t>
  </si>
  <si>
    <t>N24n</t>
  </si>
  <si>
    <t>N25n</t>
  </si>
  <si>
    <t>N26n</t>
  </si>
  <si>
    <t>N27n</t>
  </si>
  <si>
    <t>N28n</t>
  </si>
  <si>
    <t>N29n</t>
  </si>
  <si>
    <t>N30n</t>
  </si>
  <si>
    <t>N31n</t>
  </si>
  <si>
    <t>N32n</t>
  </si>
  <si>
    <t>N33n</t>
  </si>
  <si>
    <t>N34n</t>
  </si>
  <si>
    <t>N35n</t>
  </si>
  <si>
    <t>N36n</t>
  </si>
  <si>
    <t>N37n</t>
  </si>
  <si>
    <t>N38n</t>
  </si>
  <si>
    <t>N39n</t>
  </si>
  <si>
    <t>N40n</t>
  </si>
  <si>
    <t>N41n</t>
  </si>
  <si>
    <t>N42n</t>
  </si>
  <si>
    <t>N43n</t>
  </si>
  <si>
    <t>N44n</t>
  </si>
  <si>
    <t>N45n</t>
  </si>
  <si>
    <t>N46n</t>
  </si>
  <si>
    <t>N47n</t>
  </si>
  <si>
    <t>N48n</t>
  </si>
  <si>
    <t>N49n</t>
  </si>
  <si>
    <t>N50n</t>
  </si>
  <si>
    <t>N51n</t>
  </si>
  <si>
    <t>N52n</t>
  </si>
  <si>
    <t>N53n</t>
  </si>
  <si>
    <t>N54n</t>
  </si>
  <si>
    <t>N55n</t>
  </si>
  <si>
    <t>N56n</t>
  </si>
  <si>
    <t>N57n</t>
  </si>
  <si>
    <t>N58n</t>
  </si>
  <si>
    <t>N59n</t>
  </si>
  <si>
    <t>N60n</t>
  </si>
  <si>
    <t>N61n</t>
  </si>
  <si>
    <t>N62n</t>
  </si>
  <si>
    <t>N63n</t>
  </si>
  <si>
    <t>N64n</t>
  </si>
  <si>
    <t>N65n</t>
  </si>
  <si>
    <t>N66n</t>
  </si>
  <si>
    <t>N67n</t>
  </si>
  <si>
    <t>N68n</t>
  </si>
  <si>
    <t>N69n</t>
  </si>
  <si>
    <t>N70n</t>
  </si>
  <si>
    <t>N71n</t>
  </si>
  <si>
    <t>N72n</t>
  </si>
  <si>
    <t>N73n</t>
  </si>
  <si>
    <t>N74n</t>
  </si>
  <si>
    <t>N75n</t>
  </si>
  <si>
    <t>N76n</t>
  </si>
  <si>
    <t>N77n</t>
  </si>
  <si>
    <t>N78n</t>
  </si>
  <si>
    <t>N79n</t>
  </si>
  <si>
    <t>N80n</t>
  </si>
  <si>
    <t>N81n</t>
  </si>
  <si>
    <t>N82n</t>
  </si>
  <si>
    <t>N83n</t>
  </si>
  <si>
    <t>N84n</t>
  </si>
  <si>
    <t>N85n</t>
  </si>
  <si>
    <t>N86n</t>
  </si>
  <si>
    <t>N87n</t>
  </si>
  <si>
    <t>N88n</t>
  </si>
  <si>
    <t>crest ampl. at WG3 normalized by still water depth</t>
  </si>
  <si>
    <t>max runup normalized by still water depth</t>
  </si>
  <si>
    <t>E</t>
  </si>
  <si>
    <t>ε</t>
  </si>
  <si>
    <t>σ</t>
  </si>
  <si>
    <t>δ/λ</t>
  </si>
  <si>
    <t>S01n</t>
  </si>
  <si>
    <t>S02n</t>
  </si>
  <si>
    <t>S03n</t>
  </si>
  <si>
    <t>S04n</t>
  </si>
  <si>
    <t>S05n</t>
  </si>
  <si>
    <t>S06n</t>
  </si>
  <si>
    <t>S07n</t>
  </si>
  <si>
    <t>S08n</t>
  </si>
  <si>
    <t>S09n</t>
  </si>
  <si>
    <t>S10n</t>
  </si>
  <si>
    <t>S11n</t>
  </si>
  <si>
    <t>S12n</t>
  </si>
  <si>
    <t>S13n</t>
  </si>
  <si>
    <t>S14n</t>
  </si>
  <si>
    <t>S15n</t>
  </si>
  <si>
    <t>S16n</t>
  </si>
  <si>
    <t>S17n</t>
  </si>
  <si>
    <t>S18n</t>
  </si>
  <si>
    <t>S19n</t>
  </si>
  <si>
    <t>S20n</t>
  </si>
  <si>
    <t>S21n</t>
  </si>
  <si>
    <t>S22n</t>
  </si>
  <si>
    <t>S23n</t>
  </si>
  <si>
    <t>S24n</t>
  </si>
  <si>
    <t>Numerical simulation results of solitary wave runup on a 1:10 slope. Toe of slope is located at x=13.5 m. Still water depth h=0.2 m.</t>
  </si>
  <si>
    <t>Numerical simulation results of solitary wave runup on a 1:10 slope. Toe of slope is located at x=7 m. Still water depth h=0.2 m.</t>
  </si>
  <si>
    <t>Numerical simulation results of solitary wave runup on a 1:20 slope. Toe of slope is located at x=13.5 m. Still water depth h=0.2 m.</t>
  </si>
  <si>
    <t>Numerical simulation results of solitary wave runup on a 1:40 slope. Toe of slope is located at x=13.5 m. Still water depth h=0.2 m.</t>
  </si>
  <si>
    <t>Numerical simulation results of LDN runup on a 1:10 slope. Toe of slope is located at x=13.5 m. Empty case: did not run simulation. Still water depth h=0.2 m.</t>
  </si>
  <si>
    <t>Numerical simulation results of LDN runup on a 1:10 slope. Toe of slope is located at x=7 m. Empty case: did not run simulation. Still water depth h=0.2 m.</t>
  </si>
  <si>
    <t>Numerical simulation results of LDN runup on a 1:20 slope. Toe of slope is located at x=13.5 m. Empty case: did not run simulation. Still water depth h=0.2 m.</t>
  </si>
  <si>
    <t>Numerical simulation results of LDN runup on a 1:40 slope. Toe of slope is located at x=13.5 m. Empty case: did not run simulation. Still water depth h=0.2 m.</t>
  </si>
  <si>
    <t>Wavemaking parameters for the LDNs using a piston-type wavemaker. The LDN cases considered are the same as those used in Lo et al. (2024, Coastal Engineering, doi:10.1016/j.coastaleng.2024.104479). The LDN wavemaking method is proposed by Lima et al. (2019, Coastal Engineering, doi:10.1016/j.coastaleng.
2019.02.012). Still water depth h=0.2 m.</t>
  </si>
  <si>
    <r>
      <rPr>
        <sz val="11"/>
        <color rgb="FFFF0000"/>
        <rFont val="Calibri"/>
        <family val="2"/>
        <scheme val="minor"/>
      </rPr>
      <t xml:space="preserve">[FILES LAST UPDATED ON 2026/03/21]
</t>
    </r>
    <r>
      <rPr>
        <sz val="11"/>
        <color theme="1"/>
        <rFont val="Calibri"/>
        <family val="2"/>
        <scheme val="minor"/>
      </rPr>
      <t xml:space="preserve">
This is the supplementary material for the paper:
Numerical investigation of the runup of leading-depression N-waves using a two-model approach
by Peter H.-Y. Lo and Pin-Chen Ko,
submitted to Water Waves for review on 2026/03/21.
The spreadsheet tabulates the numerical simulation results for the 350 cases considered in the paper.
Please direct all questions related to this study to Peter H.-Y. Lo: peterhylo@ntu.edu.tw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</si>
</sst>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D9D7-D54E-4388-B0FA-1EE56C269518}">
  <dimension ref="A1"/>
  <sheetViews>
    <sheetView tabSelected="1" workbookViewId="0">
      <selection activeCell="A4" sqref="A4"/>
    </sheetView>
  </sheetViews>
  <sheetFormatPr defaultRowHeight="14.4" x14ac:dyDescent="0.3"/>
  <cols>
    <col min="1" max="1" width="120.69921875" customWidth="1"/>
  </cols>
  <sheetData>
    <row r="1" spans="1:1" ht="199.95" customHeight="1" x14ac:dyDescent="0.3">
      <c r="A1" s="19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0.69921875" customWidth="1"/>
    <col min="2" max="7" width="16.69921875" customWidth="1"/>
  </cols>
  <sheetData>
    <row r="1" spans="1:7" x14ac:dyDescent="0.3">
      <c r="A1" s="18" t="s">
        <v>131</v>
      </c>
      <c r="B1" s="18"/>
      <c r="C1" s="18"/>
      <c r="D1" s="18"/>
      <c r="E1" s="18"/>
      <c r="F1" s="18"/>
      <c r="G1" s="18"/>
    </row>
    <row r="2" spans="1:7" ht="72" customHeight="1" x14ac:dyDescent="0.3">
      <c r="A2" s="7"/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11</v>
      </c>
    </row>
    <row r="3" spans="1:7" s="1" customFormat="1" ht="14.4" customHeigh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5" t="s">
        <v>12</v>
      </c>
    </row>
    <row r="4" spans="1:7" x14ac:dyDescent="0.3">
      <c r="A4" s="4" t="s">
        <v>107</v>
      </c>
      <c r="B4" s="11">
        <v>2.248695652173913E-2</v>
      </c>
      <c r="C4" s="11">
        <v>6.6021739130434784E-2</v>
      </c>
      <c r="D4" s="11">
        <v>0.5197044037833225</v>
      </c>
      <c r="E4" s="11">
        <v>2.6941969910523333E-3</v>
      </c>
      <c r="F4" s="12">
        <f>E4/D4*100</f>
        <v>0.5184094980606726</v>
      </c>
      <c r="G4" s="11">
        <v>7.0088398506670493E-2</v>
      </c>
    </row>
    <row r="5" spans="1:7" x14ac:dyDescent="0.3">
      <c r="A5" s="4" t="s">
        <v>108</v>
      </c>
      <c r="B5" s="11">
        <v>3.2486956521739128E-2</v>
      </c>
      <c r="C5" s="11">
        <v>9.8869565217391306E-2</v>
      </c>
      <c r="D5" s="11">
        <v>0.95562554578404713</v>
      </c>
      <c r="E5" s="11">
        <v>7.9336164624240757E-3</v>
      </c>
      <c r="F5" s="12">
        <f t="shared" ref="F5:F27" si="0">E5/D5*100</f>
        <v>0.83020137933994909</v>
      </c>
      <c r="G5" s="11">
        <v>0.11635830547500343</v>
      </c>
    </row>
    <row r="6" spans="1:7" x14ac:dyDescent="0.3">
      <c r="A6" s="4" t="s">
        <v>109</v>
      </c>
      <c r="B6" s="11">
        <v>4.3065217391304346E-2</v>
      </c>
      <c r="C6" s="11">
        <v>0.13649999999999998</v>
      </c>
      <c r="D6" s="11">
        <v>1.4727485973516361</v>
      </c>
      <c r="E6" s="11">
        <v>1.8639732618814575E-2</v>
      </c>
      <c r="F6" s="12">
        <f t="shared" si="0"/>
        <v>1.2656425307301866</v>
      </c>
      <c r="G6" s="11">
        <v>0.16294942723554509</v>
      </c>
    </row>
    <row r="7" spans="1:7" x14ac:dyDescent="0.3">
      <c r="A7" s="4" t="s">
        <v>110</v>
      </c>
      <c r="B7" s="11">
        <v>5.3452173913043473E-2</v>
      </c>
      <c r="C7" s="11">
        <v>0.17308695652173911</v>
      </c>
      <c r="D7" s="11">
        <v>2.0604638734586254</v>
      </c>
      <c r="E7" s="11">
        <v>3.785989859304939E-2</v>
      </c>
      <c r="F7" s="12">
        <f t="shared" si="0"/>
        <v>1.8374453966765762</v>
      </c>
      <c r="G7" s="11">
        <v>0.21165382371296995</v>
      </c>
    </row>
    <row r="8" spans="1:7" x14ac:dyDescent="0.3">
      <c r="A8" s="4" t="s">
        <v>111</v>
      </c>
      <c r="B8" s="11">
        <v>6.3682608695652176E-2</v>
      </c>
      <c r="C8" s="11">
        <v>0.20785652173913044</v>
      </c>
      <c r="D8" s="11">
        <v>2.7117404395923468</v>
      </c>
      <c r="E8" s="11">
        <v>6.6579561956334299E-2</v>
      </c>
      <c r="F8" s="12">
        <f t="shared" si="0"/>
        <v>2.4552335829878742</v>
      </c>
      <c r="G8" s="11">
        <v>0.26736968763802837</v>
      </c>
    </row>
    <row r="9" spans="1:7" x14ac:dyDescent="0.3">
      <c r="A9" s="4" t="s">
        <v>112</v>
      </c>
      <c r="B9" s="11">
        <v>7.3791304347826089E-2</v>
      </c>
      <c r="C9" s="11">
        <v>0.2414</v>
      </c>
      <c r="D9" s="11">
        <v>3.4212176835188002</v>
      </c>
      <c r="E9" s="11">
        <v>0.1058943889951145</v>
      </c>
      <c r="F9" s="12">
        <f t="shared" si="0"/>
        <v>3.095225115468236</v>
      </c>
      <c r="G9" s="11">
        <v>0.32622230013862458</v>
      </c>
    </row>
    <row r="10" spans="1:7" x14ac:dyDescent="0.3">
      <c r="A10" s="4" t="s">
        <v>113</v>
      </c>
      <c r="B10" s="11">
        <v>8.3856521739130427E-2</v>
      </c>
      <c r="C10" s="11">
        <v>0.27383478260869565</v>
      </c>
      <c r="D10" s="11">
        <v>4.1850305673292558</v>
      </c>
      <c r="E10" s="11">
        <v>0.1555375845369289</v>
      </c>
      <c r="F10" s="12">
        <f t="shared" si="0"/>
        <v>3.7165220667955046</v>
      </c>
      <c r="G10" s="11">
        <v>0.37834679553358813</v>
      </c>
    </row>
    <row r="11" spans="1:7" x14ac:dyDescent="0.3">
      <c r="A11" s="4" t="s">
        <v>114</v>
      </c>
      <c r="B11" s="11">
        <v>0.10392173913043477</v>
      </c>
      <c r="C11" s="11">
        <v>0.33366956521739133</v>
      </c>
      <c r="D11" s="11">
        <v>5.8634123023713993</v>
      </c>
      <c r="E11" s="11">
        <v>0.28873822913458902</v>
      </c>
      <c r="F11" s="12">
        <f t="shared" si="0"/>
        <v>4.9244060326068437</v>
      </c>
      <c r="G11" s="11">
        <v>0.49053922209551826</v>
      </c>
    </row>
    <row r="12" spans="1:7" x14ac:dyDescent="0.3">
      <c r="A12" s="4" t="s">
        <v>115</v>
      </c>
      <c r="B12" s="11">
        <v>0.12379565217391303</v>
      </c>
      <c r="C12" s="11">
        <v>0.38941739130434783</v>
      </c>
      <c r="D12" s="11">
        <v>7.7279634951761809</v>
      </c>
      <c r="E12" s="11">
        <v>0.4739303410692246</v>
      </c>
      <c r="F12" s="12">
        <f t="shared" si="0"/>
        <v>6.1326679579303578</v>
      </c>
      <c r="G12" s="11">
        <v>0.59511688937303375</v>
      </c>
    </row>
    <row r="13" spans="1:7" x14ac:dyDescent="0.3">
      <c r="A13" s="4" t="s">
        <v>116</v>
      </c>
      <c r="B13" s="11">
        <v>0.14341739130434783</v>
      </c>
      <c r="C13" s="11">
        <v>0.4418652173913043</v>
      </c>
      <c r="D13" s="11">
        <v>9.7664896759784998</v>
      </c>
      <c r="E13" s="11">
        <v>0.71132270443057344</v>
      </c>
      <c r="F13" s="12">
        <f t="shared" si="0"/>
        <v>7.2832996094812987</v>
      </c>
      <c r="G13" s="11">
        <v>0.68720084949527149</v>
      </c>
    </row>
    <row r="14" spans="1:7" x14ac:dyDescent="0.3">
      <c r="A14" s="4" t="s">
        <v>117</v>
      </c>
      <c r="B14" s="11">
        <v>0.1532391304347826</v>
      </c>
      <c r="C14" s="11">
        <v>0.46782173913043479</v>
      </c>
      <c r="D14" s="11">
        <v>10.847368377197002</v>
      </c>
      <c r="E14" s="11">
        <v>0.85179932585401552</v>
      </c>
      <c r="F14" s="12">
        <f t="shared" si="0"/>
        <v>7.8525896441817302</v>
      </c>
      <c r="G14" s="11">
        <v>0.73332506485809668</v>
      </c>
    </row>
    <row r="15" spans="1:7" x14ac:dyDescent="0.3">
      <c r="A15" s="4" t="s">
        <v>118</v>
      </c>
      <c r="B15" s="11">
        <v>0.16291304347826088</v>
      </c>
      <c r="C15" s="11">
        <v>0.49276956521739124</v>
      </c>
      <c r="D15" s="11">
        <v>11.969176956833547</v>
      </c>
      <c r="E15" s="11">
        <v>1.0089334383894073</v>
      </c>
      <c r="F15" s="12">
        <f t="shared" si="0"/>
        <v>8.4294303779457298</v>
      </c>
      <c r="G15" s="11">
        <v>0.78148765442211332</v>
      </c>
    </row>
    <row r="16" spans="1:7" x14ac:dyDescent="0.3">
      <c r="A16" s="4" t="s">
        <v>119</v>
      </c>
      <c r="B16" s="11">
        <v>0.18229999999999999</v>
      </c>
      <c r="C16" s="11">
        <v>0.54147391304347825</v>
      </c>
      <c r="D16" s="11">
        <v>14.330123923619452</v>
      </c>
      <c r="E16" s="11">
        <v>1.3526730000865523</v>
      </c>
      <c r="F16" s="12">
        <f t="shared" si="0"/>
        <v>9.4393670794222917</v>
      </c>
      <c r="G16" s="11">
        <v>0.86359399382534263</v>
      </c>
    </row>
    <row r="17" spans="1:7" x14ac:dyDescent="0.3">
      <c r="A17" s="4" t="s">
        <v>120</v>
      </c>
      <c r="B17" s="11">
        <v>0.20161304347826087</v>
      </c>
      <c r="C17" s="11">
        <v>0.58840000000000003</v>
      </c>
      <c r="D17" s="11">
        <v>16.844707722296267</v>
      </c>
      <c r="E17" s="11">
        <v>1.7578437090664867</v>
      </c>
      <c r="F17" s="12">
        <f t="shared" si="0"/>
        <v>10.435584505510541</v>
      </c>
      <c r="G17" s="11">
        <v>0.94594794111052893</v>
      </c>
    </row>
    <row r="18" spans="1:7" x14ac:dyDescent="0.3">
      <c r="A18" s="4" t="s">
        <v>121</v>
      </c>
      <c r="B18" s="11">
        <v>0.22596086956521741</v>
      </c>
      <c r="C18" s="11">
        <v>0.64457826086956516</v>
      </c>
      <c r="D18" s="11">
        <v>20.230252204664293</v>
      </c>
      <c r="E18" s="11">
        <v>2.3465482206117372</v>
      </c>
      <c r="F18" s="12">
        <f t="shared" si="0"/>
        <v>11.599203988523268</v>
      </c>
      <c r="G18" s="11">
        <v>1.0454759246401792</v>
      </c>
    </row>
    <row r="19" spans="1:7" x14ac:dyDescent="0.3">
      <c r="A19" s="4" t="s">
        <v>122</v>
      </c>
      <c r="B19" s="11">
        <v>0.24966521739130434</v>
      </c>
      <c r="C19" s="11">
        <v>0.6989043478260869</v>
      </c>
      <c r="D19" s="11">
        <v>23.787174236740896</v>
      </c>
      <c r="E19" s="11">
        <v>3.010687479503904</v>
      </c>
      <c r="F19" s="12">
        <f t="shared" si="0"/>
        <v>12.656768095025321</v>
      </c>
      <c r="G19" s="11">
        <v>1.1162049562215115</v>
      </c>
    </row>
    <row r="20" spans="1:7" x14ac:dyDescent="0.3">
      <c r="A20" s="4" t="s">
        <v>123</v>
      </c>
      <c r="B20" s="11">
        <v>0.27419565217391301</v>
      </c>
      <c r="C20" s="11">
        <v>0.75197391304347816</v>
      </c>
      <c r="D20" s="11">
        <v>27.644687725508479</v>
      </c>
      <c r="E20" s="11">
        <v>3.7806743577202795</v>
      </c>
      <c r="F20" s="12">
        <f t="shared" si="0"/>
        <v>13.675952484106926</v>
      </c>
      <c r="G20" s="11">
        <v>1.1954342294151035</v>
      </c>
    </row>
    <row r="21" spans="1:7" x14ac:dyDescent="0.3">
      <c r="A21" s="4" t="s">
        <v>124</v>
      </c>
      <c r="B21" s="11">
        <v>0.29827826086956521</v>
      </c>
      <c r="C21" s="11">
        <v>0.80443478260869561</v>
      </c>
      <c r="D21" s="11">
        <v>31.672238222443141</v>
      </c>
      <c r="E21" s="11">
        <v>4.633607907341954</v>
      </c>
      <c r="F21" s="12">
        <f t="shared" si="0"/>
        <v>14.629871986939499</v>
      </c>
      <c r="G21" s="11">
        <v>1.2713981403809709</v>
      </c>
    </row>
    <row r="22" spans="1:7" x14ac:dyDescent="0.3">
      <c r="A22" s="4" t="s">
        <v>125</v>
      </c>
      <c r="B22" s="11">
        <v>0.32308260869565214</v>
      </c>
      <c r="C22" s="11">
        <v>0.85531304347826087</v>
      </c>
      <c r="D22" s="11">
        <v>36.021401766576467</v>
      </c>
      <c r="E22" s="11">
        <v>5.6072908874430354</v>
      </c>
      <c r="F22" s="12">
        <f t="shared" si="0"/>
        <v>15.566553805371139</v>
      </c>
      <c r="G22" s="11">
        <v>1.3357864738999798</v>
      </c>
    </row>
    <row r="23" spans="1:7" x14ac:dyDescent="0.3">
      <c r="A23" s="4" t="s">
        <v>126</v>
      </c>
      <c r="B23" s="11">
        <v>0.34805652173913043</v>
      </c>
      <c r="C23" s="11">
        <v>0.9053347826086956</v>
      </c>
      <c r="D23" s="11">
        <v>40.54074975291347</v>
      </c>
      <c r="E23" s="11">
        <v>6.6501130792867471</v>
      </c>
      <c r="F23" s="12">
        <f t="shared" si="0"/>
        <v>16.403527610657559</v>
      </c>
      <c r="G23" s="11">
        <v>1.3971258316105359</v>
      </c>
    </row>
    <row r="24" spans="1:7" x14ac:dyDescent="0.3">
      <c r="A24" s="4" t="s">
        <v>127</v>
      </c>
      <c r="B24" s="11">
        <v>0.37360434782608698</v>
      </c>
      <c r="C24" s="11">
        <v>0.95709999999999995</v>
      </c>
      <c r="D24" s="11">
        <v>45.411245650777438</v>
      </c>
      <c r="E24" s="11">
        <v>7.8461216365439341</v>
      </c>
      <c r="F24" s="12">
        <f t="shared" si="0"/>
        <v>17.27792647856954</v>
      </c>
      <c r="G24" s="11">
        <v>1.4494939745689828</v>
      </c>
    </row>
    <row r="25" spans="1:7" x14ac:dyDescent="0.3">
      <c r="A25" s="4" t="s">
        <v>128</v>
      </c>
      <c r="B25" s="11">
        <v>0.39978260869565219</v>
      </c>
      <c r="C25" s="11">
        <v>1.0073999999999999</v>
      </c>
      <c r="D25" s="11">
        <v>50.494044237778489</v>
      </c>
      <c r="E25" s="11">
        <v>9.1490550302994222</v>
      </c>
      <c r="F25" s="12">
        <f t="shared" si="0"/>
        <v>18.119077543514148</v>
      </c>
      <c r="G25" s="11">
        <v>1.5041809230021759</v>
      </c>
    </row>
    <row r="26" spans="1:7" x14ac:dyDescent="0.3">
      <c r="A26" s="4" t="s">
        <v>129</v>
      </c>
      <c r="B26" s="11">
        <v>0.42696521739130433</v>
      </c>
      <c r="C26" s="11">
        <v>1.0575608695652174</v>
      </c>
      <c r="D26" s="11">
        <v>55.975226627866085</v>
      </c>
      <c r="E26" s="11">
        <v>10.57608663588934</v>
      </c>
      <c r="F26" s="12">
        <f t="shared" si="0"/>
        <v>18.894227452085488</v>
      </c>
      <c r="G26" s="11">
        <v>1.5565722134143449</v>
      </c>
    </row>
    <row r="27" spans="1:7" x14ac:dyDescent="0.3">
      <c r="A27" s="4" t="s">
        <v>130</v>
      </c>
      <c r="B27" s="11">
        <v>0.44316956521739131</v>
      </c>
      <c r="C27" s="11">
        <v>1.0887478260869565</v>
      </c>
      <c r="D27" s="11">
        <v>59.338120376783031</v>
      </c>
      <c r="E27" s="11">
        <v>11.497421008560963</v>
      </c>
      <c r="F27" s="12">
        <f t="shared" si="0"/>
        <v>19.376112582527149</v>
      </c>
      <c r="G27" s="11">
        <v>1.5909181700954207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258E-1A1B-4D3D-BDA9-15219E0FD179}">
  <dimension ref="A1:H2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0.69921875" customWidth="1"/>
    <col min="2" max="7" width="16.69921875" customWidth="1"/>
  </cols>
  <sheetData>
    <row r="1" spans="1:8" ht="14.4" customHeight="1" x14ac:dyDescent="0.3">
      <c r="A1" s="18" t="s">
        <v>132</v>
      </c>
      <c r="B1" s="18"/>
      <c r="C1" s="18"/>
      <c r="D1" s="18"/>
      <c r="E1" s="18"/>
      <c r="F1" s="18"/>
      <c r="G1" s="18"/>
      <c r="H1" s="17"/>
    </row>
    <row r="2" spans="1:8" ht="72" customHeight="1" x14ac:dyDescent="0.3">
      <c r="A2" s="7"/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11</v>
      </c>
      <c r="H2" s="4"/>
    </row>
    <row r="3" spans="1:8" s="1" customFormat="1" ht="14.4" customHeigh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5" t="s">
        <v>12</v>
      </c>
      <c r="H3" s="16"/>
    </row>
    <row r="4" spans="1:8" x14ac:dyDescent="0.3">
      <c r="A4" s="4" t="s">
        <v>107</v>
      </c>
      <c r="B4" s="8">
        <v>2.2460869565217388E-2</v>
      </c>
      <c r="C4" s="8">
        <v>6.572608695652174E-2</v>
      </c>
      <c r="D4" s="8">
        <v>0.51938016476632098</v>
      </c>
      <c r="E4" s="8">
        <v>2.6523164863127002E-3</v>
      </c>
      <c r="F4" s="9">
        <f>E4/D4*100</f>
        <v>0.51066957620648212</v>
      </c>
      <c r="G4" s="8">
        <v>7.9589635249896151E-2</v>
      </c>
    </row>
    <row r="5" spans="1:8" x14ac:dyDescent="0.3">
      <c r="A5" s="4" t="s">
        <v>108</v>
      </c>
      <c r="B5" s="8">
        <v>3.2791304347826088E-2</v>
      </c>
      <c r="C5" s="8">
        <v>9.9478260869565224E-2</v>
      </c>
      <c r="D5" s="8">
        <v>0.95633915967446392</v>
      </c>
      <c r="E5" s="8">
        <v>7.8782053354903292E-3</v>
      </c>
      <c r="F5" s="9">
        <f t="shared" ref="F5:F27" si="0">E5/D5*100</f>
        <v>0.82378780119932093</v>
      </c>
      <c r="G5" s="8">
        <v>0.11361710808087741</v>
      </c>
    </row>
    <row r="6" spans="1:8" x14ac:dyDescent="0.3">
      <c r="A6" s="4" t="s">
        <v>109</v>
      </c>
      <c r="B6" s="8">
        <v>4.3382608695652178E-2</v>
      </c>
      <c r="C6" s="8">
        <v>0.13710434782608694</v>
      </c>
      <c r="D6" s="8">
        <v>1.4752173131299524</v>
      </c>
      <c r="E6" s="8">
        <v>1.8882337682896599E-2</v>
      </c>
      <c r="F6" s="9">
        <f t="shared" si="0"/>
        <v>1.2799699078120328</v>
      </c>
      <c r="G6" s="8">
        <v>0.1676885371417639</v>
      </c>
    </row>
    <row r="7" spans="1:8" x14ac:dyDescent="0.3">
      <c r="A7" s="4" t="s">
        <v>110</v>
      </c>
      <c r="B7" s="8">
        <v>5.371304347826087E-2</v>
      </c>
      <c r="C7" s="8">
        <v>0.17378260869565215</v>
      </c>
      <c r="D7" s="8">
        <v>2.0653049627087623</v>
      </c>
      <c r="E7" s="8">
        <v>3.8556810675673958E-2</v>
      </c>
      <c r="F7" s="9">
        <f t="shared" si="0"/>
        <v>1.8668821976346079</v>
      </c>
      <c r="G7" s="8">
        <v>0.22255937570515502</v>
      </c>
    </row>
    <row r="8" spans="1:8" x14ac:dyDescent="0.3">
      <c r="A8" s="4" t="s">
        <v>111</v>
      </c>
      <c r="B8" s="8">
        <v>6.3982608695652171E-2</v>
      </c>
      <c r="C8" s="8">
        <v>0.20879999999999999</v>
      </c>
      <c r="D8" s="8">
        <v>2.7195707224305372</v>
      </c>
      <c r="E8" s="8">
        <v>6.8210844229871892E-2</v>
      </c>
      <c r="F8" s="9">
        <f t="shared" si="0"/>
        <v>2.5081474685427718</v>
      </c>
      <c r="G8" s="8">
        <v>0.27349468750992723</v>
      </c>
    </row>
    <row r="9" spans="1:8" x14ac:dyDescent="0.3">
      <c r="A9" s="4" t="s">
        <v>112</v>
      </c>
      <c r="B9" s="8">
        <v>7.4252173913043479E-2</v>
      </c>
      <c r="C9" s="8">
        <v>0.24249130434782609</v>
      </c>
      <c r="D9" s="8">
        <v>3.4327162233359774</v>
      </c>
      <c r="E9" s="8">
        <v>0.10820660109763258</v>
      </c>
      <c r="F9" s="9">
        <f t="shared" si="0"/>
        <v>3.1522151572574617</v>
      </c>
      <c r="G9" s="8">
        <v>0.32753544089228204</v>
      </c>
    </row>
    <row r="10" spans="1:8" x14ac:dyDescent="0.3">
      <c r="A10" s="4" t="s">
        <v>113</v>
      </c>
      <c r="B10" s="8">
        <v>8.4417391304347819E-2</v>
      </c>
      <c r="C10" s="8">
        <v>0.27510434782608695</v>
      </c>
      <c r="D10" s="8">
        <v>4.2009664957303512</v>
      </c>
      <c r="E10" s="8">
        <v>0.15881035887897177</v>
      </c>
      <c r="F10" s="9">
        <f t="shared" si="0"/>
        <v>3.7803290990389602</v>
      </c>
      <c r="G10" s="8">
        <v>0.38965388569362497</v>
      </c>
    </row>
    <row r="11" spans="1:8" x14ac:dyDescent="0.3">
      <c r="A11" s="4" t="s">
        <v>114</v>
      </c>
      <c r="B11" s="8">
        <v>0.10461304347826086</v>
      </c>
      <c r="C11" s="8">
        <v>0.33552173913043476</v>
      </c>
      <c r="D11" s="8">
        <v>5.890519565240667</v>
      </c>
      <c r="E11" s="8">
        <v>0.29464145741061376</v>
      </c>
      <c r="F11" s="9">
        <f t="shared" si="0"/>
        <v>5.0019604238183311</v>
      </c>
      <c r="G11" s="8">
        <v>0.50074075860979561</v>
      </c>
    </row>
    <row r="12" spans="1:8" x14ac:dyDescent="0.3">
      <c r="A12" s="4" t="s">
        <v>115</v>
      </c>
      <c r="B12" s="8">
        <v>0.12468695652173913</v>
      </c>
      <c r="C12" s="8">
        <v>0.39184782608695651</v>
      </c>
      <c r="D12" s="8">
        <v>7.769939830904006</v>
      </c>
      <c r="E12" s="8">
        <v>0.48705985933716001</v>
      </c>
      <c r="F12" s="9">
        <f t="shared" si="0"/>
        <v>6.2685152000783546</v>
      </c>
      <c r="G12" s="8">
        <v>0.60155543150212243</v>
      </c>
    </row>
    <row r="13" spans="1:8" x14ac:dyDescent="0.3">
      <c r="A13" s="4" t="s">
        <v>116</v>
      </c>
      <c r="B13" s="8">
        <v>0.1446608695652174</v>
      </c>
      <c r="C13" s="8">
        <v>0.44515217391304346</v>
      </c>
      <c r="D13" s="8">
        <v>9.8267021881547763</v>
      </c>
      <c r="E13" s="8">
        <v>0.73326478715162935</v>
      </c>
      <c r="F13" s="9">
        <f t="shared" si="0"/>
        <v>7.4619620408921676</v>
      </c>
      <c r="G13" s="8">
        <v>0.6978864459716545</v>
      </c>
    </row>
    <row r="14" spans="1:8" x14ac:dyDescent="0.3">
      <c r="A14" s="4" t="s">
        <v>117</v>
      </c>
      <c r="B14" s="8">
        <v>0.15460869565217392</v>
      </c>
      <c r="C14" s="8">
        <v>0.47105652173913037</v>
      </c>
      <c r="D14" s="8">
        <v>10.917917989641021</v>
      </c>
      <c r="E14" s="8">
        <v>0.88242000397080567</v>
      </c>
      <c r="F14" s="9">
        <f t="shared" si="0"/>
        <v>8.0823102427408831</v>
      </c>
      <c r="G14" s="8">
        <v>0.74114955329940269</v>
      </c>
    </row>
    <row r="15" spans="1:8" x14ac:dyDescent="0.3">
      <c r="A15" s="4" t="s">
        <v>118</v>
      </c>
      <c r="B15" s="8">
        <v>0.16463043478260869</v>
      </c>
      <c r="C15" s="8">
        <v>0.49768260869565217</v>
      </c>
      <c r="D15" s="8">
        <v>12.051051948634354</v>
      </c>
      <c r="E15" s="8">
        <v>1.0362276269346662</v>
      </c>
      <c r="F15" s="9">
        <f t="shared" si="0"/>
        <v>8.5986487432916032</v>
      </c>
      <c r="G15" s="8">
        <v>0.79024124134361051</v>
      </c>
    </row>
    <row r="16" spans="1:8" x14ac:dyDescent="0.3">
      <c r="A16" s="4" t="s">
        <v>119</v>
      </c>
      <c r="B16" s="8">
        <v>0.18440869565217391</v>
      </c>
      <c r="C16" s="8">
        <v>0.54625652173913042</v>
      </c>
      <c r="D16" s="8">
        <v>14.437174293599227</v>
      </c>
      <c r="E16" s="8">
        <v>1.4031478920484144</v>
      </c>
      <c r="F16" s="9">
        <f t="shared" si="0"/>
        <v>9.7189925363061178</v>
      </c>
      <c r="G16" s="8">
        <v>0.85425140810427913</v>
      </c>
    </row>
    <row r="17" spans="1:7" x14ac:dyDescent="0.3">
      <c r="A17" s="4" t="s">
        <v>120</v>
      </c>
      <c r="B17" s="8">
        <v>0.20430869565217388</v>
      </c>
      <c r="C17" s="8">
        <v>0.59489130434782611</v>
      </c>
      <c r="D17" s="8">
        <v>16.981721829837568</v>
      </c>
      <c r="E17" s="8">
        <v>1.8204494645272042</v>
      </c>
      <c r="F17" s="9">
        <f t="shared" si="0"/>
        <v>10.720052317242656</v>
      </c>
      <c r="G17" s="8">
        <v>0.94714851559800761</v>
      </c>
    </row>
    <row r="18" spans="1:7" x14ac:dyDescent="0.3">
      <c r="A18" s="4" t="s">
        <v>121</v>
      </c>
      <c r="B18" s="8">
        <v>0.22922608695652172</v>
      </c>
      <c r="C18" s="8">
        <v>0.65188695652173911</v>
      </c>
      <c r="D18" s="8">
        <v>20.409889549605367</v>
      </c>
      <c r="E18" s="8">
        <v>2.4342707379102322</v>
      </c>
      <c r="F18" s="9">
        <f t="shared" si="0"/>
        <v>11.926917742469115</v>
      </c>
      <c r="G18" s="8">
        <v>1.0321429621229492</v>
      </c>
    </row>
    <row r="19" spans="1:7" x14ac:dyDescent="0.3">
      <c r="A19" s="4" t="s">
        <v>122</v>
      </c>
      <c r="B19" s="8">
        <v>0.25367391304347825</v>
      </c>
      <c r="C19" s="8">
        <v>0.70543478260869563</v>
      </c>
      <c r="D19" s="8">
        <v>24.017000531373135</v>
      </c>
      <c r="E19" s="8">
        <v>3.1270897268778555</v>
      </c>
      <c r="F19" s="9">
        <f t="shared" si="0"/>
        <v>13.02031751547398</v>
      </c>
      <c r="G19" s="8">
        <v>1.1182985878644547</v>
      </c>
    </row>
    <row r="20" spans="1:7" x14ac:dyDescent="0.3">
      <c r="A20" s="4" t="s">
        <v>123</v>
      </c>
      <c r="B20" s="8">
        <v>0.27872608695652173</v>
      </c>
      <c r="C20" s="8">
        <v>0.76055217391304342</v>
      </c>
      <c r="D20" s="8">
        <v>27.930898287237738</v>
      </c>
      <c r="E20" s="8">
        <v>3.9274229679245138</v>
      </c>
      <c r="F20" s="9">
        <f t="shared" si="0"/>
        <v>14.06121252361956</v>
      </c>
      <c r="G20" s="8">
        <v>1.1911062429205197</v>
      </c>
    </row>
    <row r="21" spans="1:7" x14ac:dyDescent="0.3">
      <c r="A21" s="4" t="s">
        <v>124</v>
      </c>
      <c r="B21" s="8">
        <v>0.30329565217391302</v>
      </c>
      <c r="C21" s="8">
        <v>0.81208260869565219</v>
      </c>
      <c r="D21" s="8">
        <v>32.021683933213744</v>
      </c>
      <c r="E21" s="8">
        <v>4.810957282070202</v>
      </c>
      <c r="F21" s="9">
        <f t="shared" si="0"/>
        <v>15.024060858586354</v>
      </c>
      <c r="G21" s="8">
        <v>1.2532146570065212</v>
      </c>
    </row>
    <row r="22" spans="1:7" x14ac:dyDescent="0.3">
      <c r="A22" s="4" t="s">
        <v>125</v>
      </c>
      <c r="B22" s="8">
        <v>0.32876956521739131</v>
      </c>
      <c r="C22" s="8">
        <v>0.86496956521739132</v>
      </c>
      <c r="D22" s="8">
        <v>36.444120819999021</v>
      </c>
      <c r="E22" s="8">
        <v>5.8202798414561272</v>
      </c>
      <c r="F22" s="9">
        <f t="shared" si="0"/>
        <v>15.97042186914878</v>
      </c>
      <c r="G22" s="8">
        <v>1.318673669389419</v>
      </c>
    </row>
    <row r="23" spans="1:7" x14ac:dyDescent="0.3">
      <c r="A23" s="4" t="s">
        <v>126</v>
      </c>
      <c r="B23" s="8">
        <v>0.35390434782608693</v>
      </c>
      <c r="C23" s="8">
        <v>0.91431739130434786</v>
      </c>
      <c r="D23" s="8">
        <v>41.050150517407232</v>
      </c>
      <c r="E23" s="8">
        <v>6.9047387936364117</v>
      </c>
      <c r="F23" s="9">
        <f t="shared" si="0"/>
        <v>16.820252073639711</v>
      </c>
      <c r="G23" s="8">
        <v>1.3763177011089287</v>
      </c>
    </row>
    <row r="24" spans="1:7" x14ac:dyDescent="0.3">
      <c r="A24" s="4" t="s">
        <v>127</v>
      </c>
      <c r="B24" s="8">
        <v>0.38023043478260871</v>
      </c>
      <c r="C24" s="8">
        <v>0.96576086956521734</v>
      </c>
      <c r="D24" s="8">
        <v>46.011420594575334</v>
      </c>
      <c r="E24" s="8">
        <v>8.1388313674007549</v>
      </c>
      <c r="F24" s="9">
        <f t="shared" si="0"/>
        <v>17.688720022611754</v>
      </c>
      <c r="G24" s="8">
        <v>1.4323200014923276</v>
      </c>
    </row>
    <row r="25" spans="1:7" x14ac:dyDescent="0.3">
      <c r="A25" s="4" t="s">
        <v>128</v>
      </c>
      <c r="B25" s="8">
        <v>0.40689130434782605</v>
      </c>
      <c r="C25" s="8">
        <v>1.0175304347826086</v>
      </c>
      <c r="D25" s="8">
        <v>51.207212826707497</v>
      </c>
      <c r="E25" s="8">
        <v>9.4907880189301466</v>
      </c>
      <c r="F25" s="9">
        <f t="shared" si="0"/>
        <v>18.534084350672092</v>
      </c>
      <c r="G25" s="8">
        <v>1.4827738379268736</v>
      </c>
    </row>
    <row r="26" spans="1:7" x14ac:dyDescent="0.3">
      <c r="A26" s="4" t="s">
        <v>129</v>
      </c>
      <c r="B26" s="8">
        <v>0.4339434782608696</v>
      </c>
      <c r="C26" s="8">
        <v>1.0684391304347824</v>
      </c>
      <c r="D26" s="8">
        <v>56.816425984007765</v>
      </c>
      <c r="E26" s="8">
        <v>10.960770586492643</v>
      </c>
      <c r="F26" s="9">
        <f t="shared" si="0"/>
        <v>19.291552392925585</v>
      </c>
      <c r="G26" s="8">
        <v>1.5431995060351629</v>
      </c>
    </row>
    <row r="27" spans="1:7" x14ac:dyDescent="0.3">
      <c r="A27" s="4" t="s">
        <v>130</v>
      </c>
      <c r="B27" s="8">
        <v>0.4506739130434782</v>
      </c>
      <c r="C27" s="8">
        <v>1.1002173913043478</v>
      </c>
      <c r="D27" s="8">
        <v>60.266186639333426</v>
      </c>
      <c r="E27" s="8">
        <v>11.913865892245077</v>
      </c>
      <c r="F27" s="9">
        <f t="shared" si="0"/>
        <v>19.768740244914309</v>
      </c>
      <c r="G27" s="8">
        <v>1.5823258999472538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213E-C38A-4E6D-BF99-1131A04AA3FB}">
  <dimension ref="A1:H2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0.69921875" style="4" customWidth="1"/>
    <col min="2" max="7" width="16.69921875" style="4" customWidth="1"/>
    <col min="8" max="16384" width="8.796875" style="4"/>
  </cols>
  <sheetData>
    <row r="1" spans="1:8" ht="14.4" customHeight="1" x14ac:dyDescent="0.3">
      <c r="A1" s="18" t="s">
        <v>133</v>
      </c>
      <c r="B1" s="18"/>
      <c r="C1" s="18"/>
      <c r="D1" s="18"/>
      <c r="E1" s="18"/>
      <c r="F1" s="18"/>
      <c r="G1" s="18"/>
      <c r="H1" s="15"/>
    </row>
    <row r="2" spans="1:8" ht="72" customHeight="1" x14ac:dyDescent="0.3"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11</v>
      </c>
    </row>
    <row r="3" spans="1:8" s="16" customFormat="1" ht="14.4" customHeigh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5" t="s">
        <v>12</v>
      </c>
    </row>
    <row r="4" spans="1:8" x14ac:dyDescent="0.3">
      <c r="A4" s="4" t="s">
        <v>107</v>
      </c>
      <c r="B4" s="11">
        <v>2.1156521739130432E-2</v>
      </c>
      <c r="C4" s="11">
        <v>7.879130434782608E-2</v>
      </c>
      <c r="D4" s="11">
        <v>0.51961809536853298</v>
      </c>
      <c r="E4" s="11">
        <v>1.2384370598312211E-2</v>
      </c>
      <c r="F4" s="12">
        <f>E4/D4*100</f>
        <v>2.3833601463645606</v>
      </c>
      <c r="G4" s="11">
        <v>0.14207194111437185</v>
      </c>
    </row>
    <row r="5" spans="1:8" x14ac:dyDescent="0.3">
      <c r="A5" s="4" t="s">
        <v>108</v>
      </c>
      <c r="B5" s="11">
        <v>3.0808695652173913E-2</v>
      </c>
      <c r="C5" s="11">
        <v>0.11366086956521738</v>
      </c>
      <c r="D5" s="11">
        <v>0.95536674266201294</v>
      </c>
      <c r="E5" s="11">
        <v>4.039000006926885E-2</v>
      </c>
      <c r="F5" s="12">
        <f t="shared" ref="F5:F27" si="0">E5/D5*100</f>
        <v>4.2276958434545291</v>
      </c>
      <c r="G5" s="11">
        <v>0.23177692162138877</v>
      </c>
    </row>
    <row r="6" spans="1:8" x14ac:dyDescent="0.3">
      <c r="A6" s="4" t="s">
        <v>109</v>
      </c>
      <c r="B6" s="11">
        <v>4.135217391304348E-2</v>
      </c>
      <c r="C6" s="11">
        <v>0.14807391304347825</v>
      </c>
      <c r="D6" s="11">
        <v>1.4725209048055405</v>
      </c>
      <c r="E6" s="11">
        <v>9.4240285765109899E-2</v>
      </c>
      <c r="F6" s="12">
        <f t="shared" si="0"/>
        <v>6.3999285482167849</v>
      </c>
      <c r="G6" s="11">
        <v>0.30952982746740071</v>
      </c>
    </row>
    <row r="7" spans="1:8" x14ac:dyDescent="0.3">
      <c r="A7" s="4" t="s">
        <v>110</v>
      </c>
      <c r="B7" s="11">
        <v>5.1569565217391304E-2</v>
      </c>
      <c r="C7" s="11">
        <v>0.1776608695652174</v>
      </c>
      <c r="D7" s="11">
        <v>2.0601834009645321</v>
      </c>
      <c r="E7" s="11">
        <v>0.1768565673289777</v>
      </c>
      <c r="F7" s="12">
        <f t="shared" si="0"/>
        <v>8.58450598360211</v>
      </c>
      <c r="G7" s="11">
        <v>0.40408149557974155</v>
      </c>
    </row>
    <row r="8" spans="1:8" x14ac:dyDescent="0.3">
      <c r="A8" s="4" t="s">
        <v>111</v>
      </c>
      <c r="B8" s="11">
        <v>6.1660869565217387E-2</v>
      </c>
      <c r="C8" s="11">
        <v>0.20400869565217389</v>
      </c>
      <c r="D8" s="11">
        <v>2.7114387328214451</v>
      </c>
      <c r="E8" s="11">
        <v>0.29189633730341802</v>
      </c>
      <c r="F8" s="12">
        <f t="shared" si="0"/>
        <v>10.76536724839359</v>
      </c>
      <c r="G8" s="11">
        <v>0.48781513837825613</v>
      </c>
    </row>
    <row r="9" spans="1:8" x14ac:dyDescent="0.3">
      <c r="A9" s="4" t="s">
        <v>112</v>
      </c>
      <c r="B9" s="11">
        <v>7.1656521739130424E-2</v>
      </c>
      <c r="C9" s="11">
        <v>0.22819999999999999</v>
      </c>
      <c r="D9" s="11">
        <v>3.4208236001646757</v>
      </c>
      <c r="E9" s="11">
        <v>0.43996485721688172</v>
      </c>
      <c r="F9" s="12">
        <f t="shared" si="0"/>
        <v>12.861372249527925</v>
      </c>
      <c r="G9" s="11">
        <v>0.56533043485092327</v>
      </c>
    </row>
    <row r="10" spans="1:8" x14ac:dyDescent="0.3">
      <c r="A10" s="4" t="s">
        <v>113</v>
      </c>
      <c r="B10" s="11">
        <v>8.1630434782608688E-2</v>
      </c>
      <c r="C10" s="11">
        <v>0.25073043478260865</v>
      </c>
      <c r="D10" s="11">
        <v>4.1845394165848688</v>
      </c>
      <c r="E10" s="11">
        <v>0.61946705958081028</v>
      </c>
      <c r="F10" s="12">
        <f t="shared" si="0"/>
        <v>14.803709510433441</v>
      </c>
      <c r="G10" s="11">
        <v>0.62106572696960904</v>
      </c>
    </row>
    <row r="11" spans="1:8" x14ac:dyDescent="0.3">
      <c r="A11" s="4" t="s">
        <v>114</v>
      </c>
      <c r="B11" s="11">
        <v>0.10149130434782608</v>
      </c>
      <c r="C11" s="11">
        <v>0.29118695652173915</v>
      </c>
      <c r="D11" s="11">
        <v>5.8627640466018107</v>
      </c>
      <c r="E11" s="11">
        <v>1.0680393844160747</v>
      </c>
      <c r="F11" s="12">
        <f t="shared" si="0"/>
        <v>18.21733530339046</v>
      </c>
      <c r="G11" s="11">
        <v>0.72617784595101631</v>
      </c>
    </row>
    <row r="12" spans="1:8" x14ac:dyDescent="0.3">
      <c r="A12" s="4" t="s">
        <v>115</v>
      </c>
      <c r="B12" s="11">
        <v>0.12116956521739131</v>
      </c>
      <c r="C12" s="11">
        <v>0.32737391304347824</v>
      </c>
      <c r="D12" s="11">
        <v>7.7271111741255654</v>
      </c>
      <c r="E12" s="11">
        <v>1.6375762524611872</v>
      </c>
      <c r="F12" s="12">
        <f t="shared" si="0"/>
        <v>21.192606338377196</v>
      </c>
      <c r="G12" s="11">
        <v>0.82030507688090126</v>
      </c>
    </row>
    <row r="13" spans="1:8" x14ac:dyDescent="0.3">
      <c r="A13" s="4" t="s">
        <v>116</v>
      </c>
      <c r="B13" s="11">
        <v>0.14069565217391303</v>
      </c>
      <c r="C13" s="11">
        <v>0.35914347826086951</v>
      </c>
      <c r="D13" s="11">
        <v>9.7653467870989417</v>
      </c>
      <c r="E13" s="11">
        <v>2.3219963739466314</v>
      </c>
      <c r="F13" s="12">
        <f t="shared" si="0"/>
        <v>23.77792027840972</v>
      </c>
      <c r="G13" s="11">
        <v>0.89791200798265647</v>
      </c>
    </row>
    <row r="14" spans="1:8" x14ac:dyDescent="0.3">
      <c r="A14" s="4" t="s">
        <v>117</v>
      </c>
      <c r="B14" s="11">
        <v>0.1503913043478261</v>
      </c>
      <c r="C14" s="11">
        <v>0.37492608695652174</v>
      </c>
      <c r="D14" s="11">
        <v>10.846217011108671</v>
      </c>
      <c r="E14" s="11">
        <v>2.7055489238036969</v>
      </c>
      <c r="F14" s="12">
        <f t="shared" si="0"/>
        <v>24.944632041131758</v>
      </c>
      <c r="G14" s="11">
        <v>0.92163141202184073</v>
      </c>
    </row>
    <row r="15" spans="1:8" x14ac:dyDescent="0.3">
      <c r="A15" s="4" t="s">
        <v>118</v>
      </c>
      <c r="B15" s="11">
        <v>0.16005217391304347</v>
      </c>
      <c r="C15" s="11">
        <v>0.3893869565217391</v>
      </c>
      <c r="D15" s="11">
        <v>11.967796655093148</v>
      </c>
      <c r="E15" s="11">
        <v>3.0934174676053647</v>
      </c>
      <c r="F15" s="12">
        <f t="shared" si="0"/>
        <v>25.847844484296917</v>
      </c>
      <c r="G15" s="11">
        <v>0.97302121666793373</v>
      </c>
    </row>
    <row r="16" spans="1:8" x14ac:dyDescent="0.3">
      <c r="A16" s="4" t="s">
        <v>119</v>
      </c>
      <c r="B16" s="11">
        <v>0.17929130434782609</v>
      </c>
      <c r="C16" s="11">
        <v>0.4166478260869565</v>
      </c>
      <c r="D16" s="11">
        <v>14.328419406103375</v>
      </c>
      <c r="E16" s="11">
        <v>3.9553099598909061</v>
      </c>
      <c r="F16" s="12">
        <f t="shared" si="0"/>
        <v>27.604649527540285</v>
      </c>
      <c r="G16" s="11">
        <v>1.0111653998640995</v>
      </c>
    </row>
    <row r="17" spans="1:7" x14ac:dyDescent="0.3">
      <c r="A17" s="4" t="s">
        <v>120</v>
      </c>
      <c r="B17" s="11">
        <v>0.19848260869565215</v>
      </c>
      <c r="C17" s="11">
        <v>0.44312608695652173</v>
      </c>
      <c r="D17" s="11">
        <v>16.842772749914833</v>
      </c>
      <c r="E17" s="11">
        <v>4.9165988688696203</v>
      </c>
      <c r="F17" s="12">
        <f t="shared" si="0"/>
        <v>29.191148879536367</v>
      </c>
      <c r="G17" s="11">
        <v>0.97168053613996264</v>
      </c>
    </row>
    <row r="18" spans="1:7" x14ac:dyDescent="0.3">
      <c r="A18" s="4" t="s">
        <v>121</v>
      </c>
      <c r="B18" s="11">
        <v>0.22262608695652172</v>
      </c>
      <c r="C18" s="11">
        <v>0.47246086956521738</v>
      </c>
      <c r="D18" s="11">
        <v>20.227966205286741</v>
      </c>
      <c r="E18" s="11">
        <v>6.2563277444003997</v>
      </c>
      <c r="F18" s="12">
        <f t="shared" si="0"/>
        <v>30.929099252525237</v>
      </c>
      <c r="G18" s="11">
        <v>1.0283021560695387</v>
      </c>
    </row>
    <row r="19" spans="1:7" x14ac:dyDescent="0.3">
      <c r="A19" s="4" t="s">
        <v>122</v>
      </c>
      <c r="B19" s="11">
        <v>0.24609565217391302</v>
      </c>
      <c r="C19" s="11">
        <v>0.50616086956521744</v>
      </c>
      <c r="D19" s="11">
        <v>23.784542433296636</v>
      </c>
      <c r="E19" s="11">
        <v>7.6896230424231504</v>
      </c>
      <c r="F19" s="12">
        <f t="shared" si="0"/>
        <v>32.33033834469834</v>
      </c>
      <c r="G19" s="11">
        <v>1.1297649168222377</v>
      </c>
    </row>
    <row r="20" spans="1:7" x14ac:dyDescent="0.3">
      <c r="A20" s="4" t="s">
        <v>123</v>
      </c>
      <c r="B20" s="11">
        <v>0.27050434782608695</v>
      </c>
      <c r="C20" s="11">
        <v>0.54223478260869562</v>
      </c>
      <c r="D20" s="11">
        <v>27.641549278944332</v>
      </c>
      <c r="E20" s="11">
        <v>9.3065559703976994</v>
      </c>
      <c r="F20" s="12">
        <f t="shared" si="0"/>
        <v>33.668720506512543</v>
      </c>
      <c r="G20" s="11">
        <v>1.2358034583140667</v>
      </c>
    </row>
    <row r="21" spans="1:7" x14ac:dyDescent="0.3">
      <c r="A21" s="4" t="s">
        <v>124</v>
      </c>
      <c r="B21" s="11">
        <v>0.29452608695652172</v>
      </c>
      <c r="C21" s="11">
        <v>0.57592173913043476</v>
      </c>
      <c r="D21" s="11">
        <v>31.67079392554794</v>
      </c>
      <c r="E21" s="11">
        <v>11.111561327563717</v>
      </c>
      <c r="F21" s="12">
        <f t="shared" si="0"/>
        <v>35.084568305060174</v>
      </c>
      <c r="G21" s="11">
        <v>1.3036212623486072</v>
      </c>
    </row>
    <row r="22" spans="1:7" x14ac:dyDescent="0.3">
      <c r="A22" s="4" t="s">
        <v>125</v>
      </c>
      <c r="B22" s="11">
        <v>0.31931739130434778</v>
      </c>
      <c r="C22" s="11">
        <v>0.60660434782608696</v>
      </c>
      <c r="D22" s="11">
        <v>36.016881901605792</v>
      </c>
      <c r="E22" s="11">
        <v>13.050048878822579</v>
      </c>
      <c r="F22" s="12">
        <f t="shared" si="0"/>
        <v>36.233144541701009</v>
      </c>
      <c r="G22" s="11">
        <v>1.3565884368159604</v>
      </c>
    </row>
    <row r="23" spans="1:7" x14ac:dyDescent="0.3">
      <c r="A23" s="4" t="s">
        <v>126</v>
      </c>
      <c r="B23" s="11">
        <v>0.34394347826086952</v>
      </c>
      <c r="C23" s="11">
        <v>0.63633043478260876</v>
      </c>
      <c r="D23" s="11">
        <v>40.536063565060111</v>
      </c>
      <c r="E23" s="11">
        <v>15.182432088032133</v>
      </c>
      <c r="F23" s="12">
        <f t="shared" si="0"/>
        <v>37.454135287863934</v>
      </c>
      <c r="G23" s="11">
        <v>1.3742483621164643</v>
      </c>
    </row>
    <row r="24" spans="1:7" x14ac:dyDescent="0.3">
      <c r="A24" s="4" t="s">
        <v>127</v>
      </c>
      <c r="B24" s="11">
        <v>0.36959565217391305</v>
      </c>
      <c r="C24" s="11">
        <v>0.66460869565217384</v>
      </c>
      <c r="D24" s="11">
        <v>45.405407806165428</v>
      </c>
      <c r="E24" s="11">
        <v>17.504830484508538</v>
      </c>
      <c r="F24" s="12">
        <f t="shared" si="0"/>
        <v>38.552303195329138</v>
      </c>
      <c r="G24" s="11">
        <v>1.4522957459127026</v>
      </c>
    </row>
    <row r="25" spans="1:7" x14ac:dyDescent="0.3">
      <c r="A25" s="4" t="s">
        <v>128</v>
      </c>
      <c r="B25" s="11">
        <v>0.39556086956521741</v>
      </c>
      <c r="C25" s="11">
        <v>0.69110000000000005</v>
      </c>
      <c r="D25" s="11">
        <v>50.487619313946084</v>
      </c>
      <c r="E25" s="11">
        <v>19.98906109036793</v>
      </c>
      <c r="F25" s="12">
        <f t="shared" si="0"/>
        <v>39.592005648098358</v>
      </c>
      <c r="G25" s="11">
        <v>1.493948697421442</v>
      </c>
    </row>
    <row r="26" spans="1:7" x14ac:dyDescent="0.3">
      <c r="A26" s="4" t="s">
        <v>129</v>
      </c>
      <c r="B26" s="11">
        <v>0.42258260869565217</v>
      </c>
      <c r="C26" s="11">
        <v>0.7181608695652173</v>
      </c>
      <c r="D26" s="11">
        <v>55.968033201688847</v>
      </c>
      <c r="E26" s="11">
        <v>22.73907597904136</v>
      </c>
      <c r="F26" s="12">
        <f t="shared" si="0"/>
        <v>40.628685122984102</v>
      </c>
      <c r="G26" s="11">
        <v>1.5690591805201659</v>
      </c>
    </row>
    <row r="27" spans="1:7" x14ac:dyDescent="0.3">
      <c r="A27" s="4" t="s">
        <v>130</v>
      </c>
      <c r="B27" s="11">
        <v>0.43879999999999997</v>
      </c>
      <c r="C27" s="11">
        <v>0.73340434782608688</v>
      </c>
      <c r="D27" s="11">
        <v>59.330349891138688</v>
      </c>
      <c r="E27" s="11">
        <v>24.464249834004541</v>
      </c>
      <c r="F27" s="12">
        <f t="shared" si="0"/>
        <v>41.233955098684511</v>
      </c>
      <c r="G27" s="11">
        <v>1.6142354402397341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F308-BB68-46AA-965E-05DE6B1886F0}">
  <dimension ref="A1:H2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0.69921875" style="4" customWidth="1"/>
    <col min="2" max="7" width="16.69921875" style="4" customWidth="1"/>
    <col min="8" max="16384" width="8.796875" style="4"/>
  </cols>
  <sheetData>
    <row r="1" spans="1:8" ht="14.4" customHeight="1" x14ac:dyDescent="0.3">
      <c r="A1" s="18" t="s">
        <v>134</v>
      </c>
      <c r="B1" s="18"/>
      <c r="C1" s="18"/>
      <c r="D1" s="18"/>
      <c r="E1" s="18"/>
      <c r="F1" s="18"/>
      <c r="G1" s="18"/>
      <c r="H1" s="15"/>
    </row>
    <row r="2" spans="1:8" ht="72" customHeight="1" x14ac:dyDescent="0.3"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11</v>
      </c>
    </row>
    <row r="3" spans="1:8" s="16" customFormat="1" ht="14.4" customHeigh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5" t="s">
        <v>12</v>
      </c>
    </row>
    <row r="4" spans="1:8" x14ac:dyDescent="0.3">
      <c r="A4" s="4" t="s">
        <v>107</v>
      </c>
      <c r="B4" s="11">
        <v>2.0586956521739128E-2</v>
      </c>
      <c r="C4" s="11">
        <v>7.9352173913043472E-2</v>
      </c>
      <c r="D4" s="11">
        <v>0.51952588290534696</v>
      </c>
      <c r="E4" s="11">
        <v>5.6358510478542678E-2</v>
      </c>
      <c r="F4" s="12">
        <f>E4/D4*100</f>
        <v>10.848065964176554</v>
      </c>
      <c r="G4" s="11">
        <v>0.24008715632382197</v>
      </c>
    </row>
    <row r="5" spans="1:8" x14ac:dyDescent="0.3">
      <c r="A5" s="4" t="s">
        <v>108</v>
      </c>
      <c r="B5" s="11">
        <v>3.0134782608695648E-2</v>
      </c>
      <c r="C5" s="11">
        <v>0.10426521739130434</v>
      </c>
      <c r="D5" s="11">
        <v>0.95524630670293276</v>
      </c>
      <c r="E5" s="11">
        <v>0.16172830463482435</v>
      </c>
      <c r="F5" s="12">
        <f t="shared" ref="F5:F27" si="0">E5/D5*100</f>
        <v>16.930534407721026</v>
      </c>
      <c r="G5" s="11">
        <v>0.33749419167453798</v>
      </c>
    </row>
    <row r="6" spans="1:8" x14ac:dyDescent="0.3">
      <c r="A6" s="4" t="s">
        <v>109</v>
      </c>
      <c r="B6" s="11">
        <v>4.0547826086956514E-2</v>
      </c>
      <c r="C6" s="11">
        <v>0.1250391304347826</v>
      </c>
      <c r="D6" s="11">
        <v>1.4723275637039717</v>
      </c>
      <c r="E6" s="11">
        <v>0.33316428064759984</v>
      </c>
      <c r="F6" s="12">
        <f t="shared" si="0"/>
        <v>22.628407486269566</v>
      </c>
      <c r="G6" s="11">
        <v>0.44661015868730192</v>
      </c>
    </row>
    <row r="7" spans="1:8" x14ac:dyDescent="0.3">
      <c r="A7" s="4" t="s">
        <v>110</v>
      </c>
      <c r="B7" s="11">
        <v>5.0717391304347825E-2</v>
      </c>
      <c r="C7" s="11">
        <v>0.14206086956521738</v>
      </c>
      <c r="D7" s="11">
        <v>2.0599805760499601</v>
      </c>
      <c r="E7" s="11">
        <v>0.56260292609641582</v>
      </c>
      <c r="F7" s="12">
        <f t="shared" si="0"/>
        <v>27.311079174116017</v>
      </c>
      <c r="G7" s="11">
        <v>0.48842146492696076</v>
      </c>
    </row>
    <row r="8" spans="1:8" x14ac:dyDescent="0.3">
      <c r="A8" s="4" t="s">
        <v>111</v>
      </c>
      <c r="B8" s="11">
        <v>6.073478260869565E-2</v>
      </c>
      <c r="C8" s="11">
        <v>0.15689565217391305</v>
      </c>
      <c r="D8" s="11">
        <v>2.711197931215855</v>
      </c>
      <c r="E8" s="11">
        <v>0.84863583288244993</v>
      </c>
      <c r="F8" s="12">
        <f t="shared" si="0"/>
        <v>31.301138995111046</v>
      </c>
      <c r="G8" s="11">
        <v>0.48574701522101799</v>
      </c>
    </row>
    <row r="9" spans="1:8" x14ac:dyDescent="0.3">
      <c r="A9" s="4" t="s">
        <v>112</v>
      </c>
      <c r="B9" s="11">
        <v>7.0665217391304339E-2</v>
      </c>
      <c r="C9" s="11">
        <v>0.17002173913043478</v>
      </c>
      <c r="D9" s="11">
        <v>3.4206151651565424</v>
      </c>
      <c r="E9" s="11">
        <v>1.1773137196190797</v>
      </c>
      <c r="F9" s="12">
        <f t="shared" si="0"/>
        <v>34.418186869179735</v>
      </c>
      <c r="G9" s="11">
        <v>0.49634605900610268</v>
      </c>
    </row>
    <row r="10" spans="1:8" x14ac:dyDescent="0.3">
      <c r="A10" s="4" t="s">
        <v>113</v>
      </c>
      <c r="B10" s="11">
        <v>8.059565217391304E-2</v>
      </c>
      <c r="C10" s="11">
        <v>0.18183913043478259</v>
      </c>
      <c r="D10" s="11">
        <v>4.1842413324100507</v>
      </c>
      <c r="E10" s="11">
        <v>1.5663085479974881</v>
      </c>
      <c r="F10" s="12">
        <f t="shared" si="0"/>
        <v>37.433513594573704</v>
      </c>
      <c r="G10" s="11">
        <v>0.55631972845290711</v>
      </c>
    </row>
    <row r="11" spans="1:8" x14ac:dyDescent="0.3">
      <c r="A11" s="4" t="s">
        <v>114</v>
      </c>
      <c r="B11" s="11">
        <v>0.10035652173913043</v>
      </c>
      <c r="C11" s="11">
        <v>0.20341739130434783</v>
      </c>
      <c r="D11" s="11">
        <v>5.862382577203169</v>
      </c>
      <c r="E11" s="11">
        <v>2.4559482898155425</v>
      </c>
      <c r="F11" s="12">
        <f t="shared" si="0"/>
        <v>41.893347243591677</v>
      </c>
      <c r="G11" s="11">
        <v>0.58347639100923232</v>
      </c>
    </row>
    <row r="12" spans="1:8" x14ac:dyDescent="0.3">
      <c r="A12" s="4" t="s">
        <v>115</v>
      </c>
      <c r="B12" s="11">
        <v>0.1199391304347826</v>
      </c>
      <c r="C12" s="11">
        <v>0.22255217391304349</v>
      </c>
      <c r="D12" s="11">
        <v>7.7266587519443766</v>
      </c>
      <c r="E12" s="11">
        <v>3.499228735242208</v>
      </c>
      <c r="F12" s="12">
        <f t="shared" si="0"/>
        <v>45.287734939266521</v>
      </c>
      <c r="G12" s="11">
        <v>0.58757688230159122</v>
      </c>
    </row>
    <row r="13" spans="1:8" x14ac:dyDescent="0.3">
      <c r="A13" s="4" t="s">
        <v>116</v>
      </c>
      <c r="B13" s="11">
        <v>0.13938260869565219</v>
      </c>
      <c r="C13" s="11">
        <v>0.23881739130434781</v>
      </c>
      <c r="D13" s="11">
        <v>9.7648020242661691</v>
      </c>
      <c r="E13" s="11">
        <v>4.6931018003736353</v>
      </c>
      <c r="F13" s="12">
        <f t="shared" si="0"/>
        <v>48.061412701568059</v>
      </c>
      <c r="G13" s="11">
        <v>0.64432416548132954</v>
      </c>
    </row>
    <row r="14" spans="1:8" x14ac:dyDescent="0.3">
      <c r="A14" s="4" t="s">
        <v>117</v>
      </c>
      <c r="B14" s="11">
        <v>0.14902608695652172</v>
      </c>
      <c r="C14" s="11">
        <v>0.24644782608695651</v>
      </c>
      <c r="D14" s="11">
        <v>10.845647084223867</v>
      </c>
      <c r="E14" s="11">
        <v>5.3471216725664785</v>
      </c>
      <c r="F14" s="12">
        <f t="shared" si="0"/>
        <v>49.302006888500259</v>
      </c>
      <c r="G14" s="11">
        <v>0.69133653292138519</v>
      </c>
    </row>
    <row r="15" spans="1:8" x14ac:dyDescent="0.3">
      <c r="A15" s="4" t="s">
        <v>118</v>
      </c>
      <c r="B15" s="11">
        <v>0.15866956521739128</v>
      </c>
      <c r="C15" s="11">
        <v>0.25337826086956522</v>
      </c>
      <c r="D15" s="11">
        <v>11.967149697614088</v>
      </c>
      <c r="E15" s="11">
        <v>6.0156476977724971</v>
      </c>
      <c r="F15" s="12">
        <f t="shared" si="0"/>
        <v>50.268007418440227</v>
      </c>
      <c r="G15" s="11">
        <v>0.68438515387870924</v>
      </c>
    </row>
    <row r="16" spans="1:8" x14ac:dyDescent="0.3">
      <c r="A16" s="4" t="s">
        <v>119</v>
      </c>
      <c r="B16" s="11">
        <v>0.17784347826086958</v>
      </c>
      <c r="C16" s="11">
        <v>0.26681739130434778</v>
      </c>
      <c r="D16" s="11">
        <v>14.327750138185984</v>
      </c>
      <c r="E16" s="11">
        <v>7.4783764853446488</v>
      </c>
      <c r="F16" s="12">
        <f t="shared" si="0"/>
        <v>52.195050955093471</v>
      </c>
      <c r="G16" s="11">
        <v>0.68239061530283585</v>
      </c>
    </row>
    <row r="17" spans="1:7" x14ac:dyDescent="0.3">
      <c r="A17" s="4" t="s">
        <v>120</v>
      </c>
      <c r="B17" s="11">
        <v>0.19696086956521738</v>
      </c>
      <c r="C17" s="11">
        <v>0.27924347826086959</v>
      </c>
      <c r="D17" s="11">
        <v>16.841907317374798</v>
      </c>
      <c r="E17" s="11">
        <v>9.0786772665453714</v>
      </c>
      <c r="F17" s="12">
        <f t="shared" si="0"/>
        <v>53.905279820531007</v>
      </c>
      <c r="G17" s="11">
        <v>0.72557591328952276</v>
      </c>
    </row>
    <row r="18" spans="1:7" x14ac:dyDescent="0.3">
      <c r="A18" s="4" t="s">
        <v>121</v>
      </c>
      <c r="B18" s="11">
        <v>0.221</v>
      </c>
      <c r="C18" s="11">
        <v>0.29575652173913042</v>
      </c>
      <c r="D18" s="11">
        <v>20.226988082038236</v>
      </c>
      <c r="E18" s="11">
        <v>11.246262183939484</v>
      </c>
      <c r="F18" s="12">
        <f t="shared" si="0"/>
        <v>55.600280863992182</v>
      </c>
      <c r="G18" s="11">
        <v>0.75539843199303813</v>
      </c>
    </row>
    <row r="19" spans="1:7" x14ac:dyDescent="0.3">
      <c r="A19" s="4" t="s">
        <v>122</v>
      </c>
      <c r="B19" s="11">
        <v>0.24461304347826085</v>
      </c>
      <c r="C19" s="11">
        <v>0.30761739130434779</v>
      </c>
      <c r="D19" s="11">
        <v>23.783959833370197</v>
      </c>
      <c r="E19" s="11">
        <v>13.529411519807079</v>
      </c>
      <c r="F19" s="12">
        <f t="shared" si="0"/>
        <v>56.884604643607638</v>
      </c>
      <c r="G19" s="11">
        <v>0.81433675497518487</v>
      </c>
    </row>
    <row r="20" spans="1:7" x14ac:dyDescent="0.3">
      <c r="A20" s="4" t="s">
        <v>123</v>
      </c>
      <c r="B20" s="11">
        <v>0.26872173913043479</v>
      </c>
      <c r="C20" s="11">
        <v>0.32316086956521739</v>
      </c>
      <c r="D20" s="11">
        <v>27.64033435968576</v>
      </c>
      <c r="E20" s="11">
        <v>16.171233607218415</v>
      </c>
      <c r="F20" s="12">
        <f t="shared" si="0"/>
        <v>58.505926146843699</v>
      </c>
      <c r="G20" s="11">
        <v>0.7645242174310044</v>
      </c>
    </row>
    <row r="21" spans="1:7" x14ac:dyDescent="0.3">
      <c r="A21" s="4" t="s">
        <v>124</v>
      </c>
      <c r="B21" s="11">
        <v>0.29279565217391301</v>
      </c>
      <c r="C21" s="11">
        <v>0.33561304347826082</v>
      </c>
      <c r="D21" s="11">
        <v>31.66923808000892</v>
      </c>
      <c r="E21" s="11">
        <v>18.84068171229044</v>
      </c>
      <c r="F21" s="12">
        <f t="shared" si="0"/>
        <v>59.492058712279359</v>
      </c>
      <c r="G21" s="11">
        <v>0.80187009623353334</v>
      </c>
    </row>
    <row r="22" spans="1:7" x14ac:dyDescent="0.3">
      <c r="A22" s="4" t="s">
        <v>125</v>
      </c>
      <c r="B22" s="11">
        <v>0.31751739130434781</v>
      </c>
      <c r="C22" s="11">
        <v>0.34919999999999995</v>
      </c>
      <c r="D22" s="11">
        <v>36.015078672656486</v>
      </c>
      <c r="E22" s="11">
        <v>21.806312357838845</v>
      </c>
      <c r="F22" s="12">
        <f t="shared" si="0"/>
        <v>60.547729344250257</v>
      </c>
      <c r="G22" s="11">
        <v>0.8234328508432095</v>
      </c>
    </row>
    <row r="23" spans="1:7" x14ac:dyDescent="0.3">
      <c r="A23" s="4" t="s">
        <v>126</v>
      </c>
      <c r="B23" s="11">
        <v>0.34196086956521737</v>
      </c>
      <c r="C23" s="11">
        <v>0.36166521739130436</v>
      </c>
      <c r="D23" s="11">
        <v>40.53429994066984</v>
      </c>
      <c r="E23" s="11">
        <v>24.945407326722762</v>
      </c>
      <c r="F23" s="12">
        <f t="shared" si="0"/>
        <v>61.541478114178418</v>
      </c>
      <c r="G23" s="11">
        <v>0.83124550621779003</v>
      </c>
    </row>
    <row r="24" spans="1:7" x14ac:dyDescent="0.3">
      <c r="A24" s="4" t="s">
        <v>127</v>
      </c>
      <c r="B24" s="11">
        <v>0.36770434782608691</v>
      </c>
      <c r="C24" s="11">
        <v>0.37464782608695646</v>
      </c>
      <c r="D24" s="11">
        <v>45.403080516569418</v>
      </c>
      <c r="E24" s="11">
        <v>28.3143972755412</v>
      </c>
      <c r="F24" s="12">
        <f t="shared" si="0"/>
        <v>62.362282368061209</v>
      </c>
      <c r="G24" s="11">
        <v>0.85145046870453567</v>
      </c>
    </row>
    <row r="25" spans="1:7" x14ac:dyDescent="0.3">
      <c r="A25" s="4" t="s">
        <v>128</v>
      </c>
      <c r="B25" s="11">
        <v>0.39354782608695649</v>
      </c>
      <c r="C25" s="11">
        <v>0.38711739130434786</v>
      </c>
      <c r="D25" s="11">
        <v>50.485070172004903</v>
      </c>
      <c r="E25" s="11">
        <v>31.810852397421417</v>
      </c>
      <c r="F25" s="12">
        <f t="shared" si="0"/>
        <v>63.01041533475226</v>
      </c>
      <c r="G25" s="11">
        <v>0.88290285903169852</v>
      </c>
    </row>
    <row r="26" spans="1:7" x14ac:dyDescent="0.3">
      <c r="A26" s="4" t="s">
        <v>129</v>
      </c>
      <c r="B26" s="11">
        <v>0.42050434782608692</v>
      </c>
      <c r="C26" s="11">
        <v>0.40021739130434786</v>
      </c>
      <c r="D26" s="11">
        <v>55.965218986208598</v>
      </c>
      <c r="E26" s="11">
        <v>35.677300557513234</v>
      </c>
      <c r="F26" s="12">
        <f t="shared" si="0"/>
        <v>63.749059154588714</v>
      </c>
      <c r="G26" s="11">
        <v>0.92673360880106503</v>
      </c>
    </row>
    <row r="27" spans="1:7" x14ac:dyDescent="0.3">
      <c r="A27" s="4" t="s">
        <v>130</v>
      </c>
      <c r="B27" s="11">
        <v>0.43672608695652171</v>
      </c>
      <c r="C27" s="11">
        <v>0.40807391304347823</v>
      </c>
      <c r="D27" s="11">
        <v>59.32735205662776</v>
      </c>
      <c r="E27" s="11">
        <v>38.07471584567385</v>
      </c>
      <c r="F27" s="12">
        <f t="shared" si="0"/>
        <v>64.177338994215788</v>
      </c>
      <c r="G27" s="11">
        <v>0.90469520812109649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5B5B-1CA5-4648-9D53-A259BCB891D7}">
  <dimension ref="A1:H90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0.69921875" customWidth="1"/>
    <col min="2" max="8" width="16.69921875" customWidth="1"/>
  </cols>
  <sheetData>
    <row r="1" spans="1:8" ht="72" customHeight="1" x14ac:dyDescent="0.3">
      <c r="A1" s="18" t="s">
        <v>139</v>
      </c>
      <c r="B1" s="18"/>
      <c r="C1" s="18"/>
      <c r="D1" s="18"/>
      <c r="E1" s="18"/>
      <c r="F1" s="14"/>
      <c r="G1" s="14"/>
      <c r="H1" s="14"/>
    </row>
    <row r="2" spans="1:8" s="1" customFormat="1" ht="14.4" customHeight="1" x14ac:dyDescent="0.3">
      <c r="A2" s="5" t="s">
        <v>2</v>
      </c>
      <c r="B2" s="5" t="s">
        <v>103</v>
      </c>
      <c r="C2" s="5" t="s">
        <v>104</v>
      </c>
      <c r="D2" s="5" t="s">
        <v>105</v>
      </c>
      <c r="E2" s="5" t="s">
        <v>106</v>
      </c>
      <c r="F2" s="6"/>
      <c r="G2" s="6"/>
      <c r="H2" s="5"/>
    </row>
    <row r="3" spans="1:8" x14ac:dyDescent="0.3">
      <c r="A3" s="7" t="s">
        <v>13</v>
      </c>
      <c r="B3" s="4">
        <v>-1.079</v>
      </c>
      <c r="C3" s="4">
        <v>0.1</v>
      </c>
      <c r="D3" s="4">
        <v>0.28000000000000003</v>
      </c>
      <c r="E3" s="4">
        <v>4.2540000000000001E-2</v>
      </c>
      <c r="F3" s="12"/>
      <c r="G3" s="4"/>
      <c r="H3" s="11"/>
    </row>
    <row r="4" spans="1:8" x14ac:dyDescent="0.3">
      <c r="A4" s="7" t="s">
        <v>14</v>
      </c>
      <c r="B4" s="4">
        <v>-1.079</v>
      </c>
      <c r="C4" s="4">
        <v>0.15</v>
      </c>
      <c r="D4" s="4">
        <v>0.28000000000000003</v>
      </c>
      <c r="E4" s="4">
        <v>4.2540000000000001E-2</v>
      </c>
      <c r="F4" s="12"/>
      <c r="G4" s="4"/>
      <c r="H4" s="11"/>
    </row>
    <row r="5" spans="1:8" x14ac:dyDescent="0.3">
      <c r="A5" s="7" t="s">
        <v>15</v>
      </c>
      <c r="B5" s="4">
        <v>-1.079</v>
      </c>
      <c r="C5" s="4">
        <v>0.18</v>
      </c>
      <c r="D5" s="4">
        <v>0.28000000000000003</v>
      </c>
      <c r="E5" s="4">
        <v>4.2540000000000001E-2</v>
      </c>
      <c r="F5" s="12"/>
      <c r="G5" s="4"/>
      <c r="H5" s="11"/>
    </row>
    <row r="6" spans="1:8" x14ac:dyDescent="0.3">
      <c r="A6" s="7" t="s">
        <v>16</v>
      </c>
      <c r="B6" s="4">
        <v>-1.079</v>
      </c>
      <c r="C6" s="4">
        <v>0.2</v>
      </c>
      <c r="D6" s="4">
        <v>0.28000000000000003</v>
      </c>
      <c r="E6" s="4">
        <v>4.2540000000000001E-2</v>
      </c>
      <c r="F6" s="12"/>
      <c r="G6" s="4"/>
      <c r="H6" s="11"/>
    </row>
    <row r="7" spans="1:8" x14ac:dyDescent="0.3">
      <c r="A7" s="7" t="s">
        <v>17</v>
      </c>
      <c r="B7" s="4">
        <v>-1.079</v>
      </c>
      <c r="C7" s="4">
        <v>0.22</v>
      </c>
      <c r="D7" s="4">
        <v>0.28000000000000003</v>
      </c>
      <c r="E7" s="4">
        <v>4.2540000000000001E-2</v>
      </c>
      <c r="F7" s="12"/>
      <c r="G7" s="4"/>
      <c r="H7" s="11"/>
    </row>
    <row r="8" spans="1:8" x14ac:dyDescent="0.3">
      <c r="A8" s="7" t="s">
        <v>18</v>
      </c>
      <c r="B8" s="4">
        <v>-1.079</v>
      </c>
      <c r="C8" s="4">
        <v>0.27</v>
      </c>
      <c r="D8" s="4">
        <v>0.28000000000000003</v>
      </c>
      <c r="E8" s="4">
        <v>4.2540000000000001E-2</v>
      </c>
      <c r="F8" s="12"/>
      <c r="G8" s="4"/>
      <c r="H8" s="11"/>
    </row>
    <row r="9" spans="1:8" x14ac:dyDescent="0.3">
      <c r="A9" s="7" t="s">
        <v>19</v>
      </c>
      <c r="B9" s="4">
        <v>-1.079</v>
      </c>
      <c r="C9" s="4">
        <v>0.3</v>
      </c>
      <c r="D9" s="4">
        <v>0.28000000000000003</v>
      </c>
      <c r="E9" s="4">
        <v>4.2540000000000001E-2</v>
      </c>
      <c r="F9" s="12"/>
      <c r="G9" s="4"/>
      <c r="H9" s="11"/>
    </row>
    <row r="10" spans="1:8" x14ac:dyDescent="0.3">
      <c r="A10" s="7" t="s">
        <v>20</v>
      </c>
      <c r="B10" s="4">
        <v>-1.079</v>
      </c>
      <c r="C10" s="4">
        <v>0.35</v>
      </c>
      <c r="D10" s="4">
        <v>0.28000000000000003</v>
      </c>
      <c r="E10" s="4">
        <v>4.2540000000000001E-2</v>
      </c>
      <c r="F10" s="12"/>
      <c r="G10" s="4"/>
      <c r="H10" s="11"/>
    </row>
    <row r="11" spans="1:8" x14ac:dyDescent="0.3">
      <c r="A11" s="7" t="s">
        <v>21</v>
      </c>
      <c r="B11" s="4">
        <v>-1.079</v>
      </c>
      <c r="C11" s="4">
        <v>0.4</v>
      </c>
      <c r="D11" s="4">
        <v>0.28000000000000003</v>
      </c>
      <c r="E11" s="4">
        <v>4.2540000000000001E-2</v>
      </c>
      <c r="F11" s="12"/>
      <c r="G11" s="4"/>
      <c r="H11" s="11"/>
    </row>
    <row r="12" spans="1:8" x14ac:dyDescent="0.3">
      <c r="A12" s="7" t="s">
        <v>22</v>
      </c>
      <c r="B12" s="4">
        <v>-1.079</v>
      </c>
      <c r="C12" s="4">
        <v>0.5</v>
      </c>
      <c r="D12" s="4">
        <v>0.28000000000000003</v>
      </c>
      <c r="E12" s="4">
        <v>4.2540000000000001E-2</v>
      </c>
      <c r="F12" s="12"/>
      <c r="G12" s="4"/>
      <c r="H12" s="4"/>
    </row>
    <row r="13" spans="1:8" x14ac:dyDescent="0.3">
      <c r="A13" s="7" t="s">
        <v>23</v>
      </c>
      <c r="B13" s="4">
        <v>-1.079</v>
      </c>
      <c r="C13" s="4">
        <v>0.6</v>
      </c>
      <c r="D13" s="4">
        <v>0.28000000000000003</v>
      </c>
      <c r="E13" s="4">
        <v>4.2540000000000001E-2</v>
      </c>
      <c r="F13" s="12"/>
      <c r="G13" s="4"/>
      <c r="H13" s="4"/>
    </row>
    <row r="14" spans="1:8" x14ac:dyDescent="0.3">
      <c r="A14" s="7" t="s">
        <v>24</v>
      </c>
      <c r="B14" s="4">
        <v>-1.079</v>
      </c>
      <c r="C14" s="4">
        <v>0.7</v>
      </c>
      <c r="D14" s="4">
        <v>0.28000000000000003</v>
      </c>
      <c r="E14" s="4">
        <v>4.2540000000000001E-2</v>
      </c>
      <c r="F14" s="12"/>
      <c r="G14" s="4"/>
      <c r="H14" s="4"/>
    </row>
    <row r="15" spans="1:8" x14ac:dyDescent="0.3">
      <c r="A15" s="7" t="s">
        <v>25</v>
      </c>
      <c r="B15" s="4">
        <v>-1.079</v>
      </c>
      <c r="C15" s="4">
        <v>0.8</v>
      </c>
      <c r="D15" s="4">
        <v>0.28000000000000003</v>
      </c>
      <c r="E15" s="4">
        <v>4.2540000000000001E-2</v>
      </c>
      <c r="F15" s="12"/>
      <c r="G15" s="4"/>
      <c r="H15" s="4"/>
    </row>
    <row r="16" spans="1:8" x14ac:dyDescent="0.3">
      <c r="A16" s="7" t="s">
        <v>26</v>
      </c>
      <c r="B16" s="4">
        <v>-1.079</v>
      </c>
      <c r="C16" s="4">
        <v>0.27</v>
      </c>
      <c r="D16" s="4">
        <v>1.64</v>
      </c>
      <c r="E16" s="4">
        <v>4.2540000000000001E-2</v>
      </c>
      <c r="F16" s="12"/>
      <c r="G16" s="4"/>
      <c r="H16" s="11"/>
    </row>
    <row r="17" spans="1:8" x14ac:dyDescent="0.3">
      <c r="A17" s="7" t="s">
        <v>27</v>
      </c>
      <c r="B17" s="4">
        <v>-1.079</v>
      </c>
      <c r="C17" s="4">
        <v>0.27</v>
      </c>
      <c r="D17" s="4">
        <v>1.1599999999999999</v>
      </c>
      <c r="E17" s="4">
        <v>4.2540000000000001E-2</v>
      </c>
      <c r="F17" s="12"/>
      <c r="G17" s="4"/>
      <c r="H17" s="11"/>
    </row>
    <row r="18" spans="1:8" x14ac:dyDescent="0.3">
      <c r="A18" s="7" t="s">
        <v>28</v>
      </c>
      <c r="B18" s="4">
        <v>-1.079</v>
      </c>
      <c r="C18" s="4">
        <v>0.27</v>
      </c>
      <c r="D18" s="4">
        <v>0.95</v>
      </c>
      <c r="E18" s="4">
        <v>4.2540000000000001E-2</v>
      </c>
      <c r="F18" s="12"/>
      <c r="G18" s="4"/>
      <c r="H18" s="11"/>
    </row>
    <row r="19" spans="1:8" x14ac:dyDescent="0.3">
      <c r="A19" s="7" t="s">
        <v>29</v>
      </c>
      <c r="B19" s="4">
        <v>-1.079</v>
      </c>
      <c r="C19" s="4">
        <v>0.27</v>
      </c>
      <c r="D19" s="4">
        <v>0.82</v>
      </c>
      <c r="E19" s="4">
        <v>4.2540000000000001E-2</v>
      </c>
      <c r="F19" s="12"/>
      <c r="G19" s="4"/>
      <c r="H19" s="11"/>
    </row>
    <row r="20" spans="1:8" x14ac:dyDescent="0.3">
      <c r="A20" s="7" t="s">
        <v>30</v>
      </c>
      <c r="B20" s="4">
        <v>-1.079</v>
      </c>
      <c r="C20" s="4">
        <v>0.27</v>
      </c>
      <c r="D20" s="4">
        <v>0.73</v>
      </c>
      <c r="E20" s="4">
        <v>4.2540000000000001E-2</v>
      </c>
      <c r="F20" s="12"/>
      <c r="G20" s="4"/>
      <c r="H20" s="11"/>
    </row>
    <row r="21" spans="1:8" x14ac:dyDescent="0.3">
      <c r="A21" s="7" t="s">
        <v>31</v>
      </c>
      <c r="B21" s="4">
        <v>-1.079</v>
      </c>
      <c r="C21" s="4">
        <v>0.27</v>
      </c>
      <c r="D21" s="4">
        <v>0.62</v>
      </c>
      <c r="E21" s="4">
        <v>4.2540000000000001E-2</v>
      </c>
      <c r="F21" s="12"/>
      <c r="G21" s="4"/>
      <c r="H21" s="11"/>
    </row>
    <row r="22" spans="1:8" x14ac:dyDescent="0.3">
      <c r="A22" s="7" t="s">
        <v>32</v>
      </c>
      <c r="B22" s="4">
        <v>-1.079</v>
      </c>
      <c r="C22" s="4">
        <v>0.27</v>
      </c>
      <c r="D22" s="4">
        <v>0.57999999999999996</v>
      </c>
      <c r="E22" s="4">
        <v>4.2540000000000001E-2</v>
      </c>
      <c r="F22" s="12"/>
      <c r="G22" s="4"/>
      <c r="H22" s="11"/>
    </row>
    <row r="23" spans="1:8" x14ac:dyDescent="0.3">
      <c r="A23" s="7" t="s">
        <v>33</v>
      </c>
      <c r="B23" s="4">
        <v>-1.079</v>
      </c>
      <c r="C23" s="4">
        <v>0.27</v>
      </c>
      <c r="D23" s="4">
        <v>0.52</v>
      </c>
      <c r="E23" s="4">
        <v>4.2540000000000001E-2</v>
      </c>
      <c r="F23" s="12"/>
      <c r="G23" s="4"/>
      <c r="H23" s="11"/>
    </row>
    <row r="24" spans="1:8" x14ac:dyDescent="0.3">
      <c r="A24" s="7" t="s">
        <v>34</v>
      </c>
      <c r="B24" s="4">
        <v>-1.079</v>
      </c>
      <c r="C24" s="4">
        <v>0.27</v>
      </c>
      <c r="D24" s="4">
        <v>0.37</v>
      </c>
      <c r="E24" s="4">
        <v>4.2540000000000001E-2</v>
      </c>
      <c r="F24" s="12"/>
      <c r="G24" s="4"/>
      <c r="H24" s="11"/>
    </row>
    <row r="25" spans="1:8" x14ac:dyDescent="0.3">
      <c r="A25" s="7" t="s">
        <v>35</v>
      </c>
      <c r="B25" s="4">
        <v>-1.079</v>
      </c>
      <c r="C25" s="4">
        <v>0.27</v>
      </c>
      <c r="D25" s="4">
        <v>0.28000000000000003</v>
      </c>
      <c r="E25" s="4">
        <v>4.2540000000000001E-2</v>
      </c>
      <c r="F25" s="12"/>
      <c r="G25" s="4"/>
      <c r="H25" s="11"/>
    </row>
    <row r="26" spans="1:8" x14ac:dyDescent="0.3">
      <c r="A26" s="7" t="s">
        <v>36</v>
      </c>
      <c r="B26" s="4">
        <v>-1.079</v>
      </c>
      <c r="C26" s="4">
        <v>0.27</v>
      </c>
      <c r="D26" s="4">
        <v>0.21</v>
      </c>
      <c r="E26" s="4">
        <v>4.2540000000000001E-2</v>
      </c>
      <c r="F26" s="12"/>
      <c r="G26" s="4"/>
      <c r="H26" s="11"/>
    </row>
    <row r="27" spans="1:8" x14ac:dyDescent="0.3">
      <c r="A27" s="7" t="s">
        <v>37</v>
      </c>
      <c r="B27" s="4">
        <v>-1.079</v>
      </c>
      <c r="C27" s="4">
        <v>0.27</v>
      </c>
      <c r="D27" s="4">
        <v>0.16</v>
      </c>
      <c r="E27" s="4">
        <v>4.2540000000000001E-2</v>
      </c>
      <c r="F27" s="12"/>
      <c r="G27" s="4"/>
      <c r="H27" s="11"/>
    </row>
    <row r="28" spans="1:8" x14ac:dyDescent="0.3">
      <c r="A28" s="7" t="s">
        <v>38</v>
      </c>
      <c r="B28" s="4">
        <v>-1.079</v>
      </c>
      <c r="C28" s="4">
        <v>0.27</v>
      </c>
      <c r="D28" s="4">
        <v>0.12</v>
      </c>
      <c r="E28" s="4">
        <v>4.2540000000000001E-2</v>
      </c>
      <c r="F28" s="12"/>
      <c r="G28" s="4"/>
      <c r="H28" s="4"/>
    </row>
    <row r="29" spans="1:8" x14ac:dyDescent="0.3">
      <c r="A29" s="7" t="s">
        <v>39</v>
      </c>
      <c r="B29" s="4">
        <v>-1.079</v>
      </c>
      <c r="C29" s="4">
        <v>0.27</v>
      </c>
      <c r="D29" s="4">
        <v>0.09</v>
      </c>
      <c r="E29" s="4">
        <v>4.2540000000000001E-2</v>
      </c>
      <c r="F29" s="12"/>
      <c r="G29" s="4"/>
      <c r="H29" s="4"/>
    </row>
    <row r="30" spans="1:8" x14ac:dyDescent="0.3">
      <c r="A30" s="7" t="s">
        <v>40</v>
      </c>
      <c r="B30" s="4">
        <v>-1.079</v>
      </c>
      <c r="C30" s="4">
        <v>0.27</v>
      </c>
      <c r="D30" s="4">
        <v>0.08</v>
      </c>
      <c r="E30" s="4">
        <v>4.2540000000000001E-2</v>
      </c>
      <c r="F30" s="12"/>
      <c r="G30" s="4"/>
      <c r="H30" s="4"/>
    </row>
    <row r="31" spans="1:8" x14ac:dyDescent="0.3">
      <c r="A31" s="7" t="s">
        <v>41</v>
      </c>
      <c r="B31" s="4">
        <v>-1.079</v>
      </c>
      <c r="C31" s="4">
        <v>0.27</v>
      </c>
      <c r="D31" s="4">
        <v>7.0000000000000007E-2</v>
      </c>
      <c r="E31" s="4">
        <v>4.2540000000000001E-2</v>
      </c>
      <c r="F31" s="12"/>
      <c r="G31" s="4"/>
      <c r="H31" s="4"/>
    </row>
    <row r="32" spans="1:8" x14ac:dyDescent="0.3">
      <c r="A32" s="7" t="s">
        <v>42</v>
      </c>
      <c r="B32" s="4">
        <v>-0.747</v>
      </c>
      <c r="C32" s="4">
        <v>0.39</v>
      </c>
      <c r="D32" s="4">
        <v>0.28000000000000003</v>
      </c>
      <c r="E32" s="4">
        <v>-0.17016000000000001</v>
      </c>
      <c r="F32" s="12"/>
      <c r="G32" s="4"/>
      <c r="H32" s="11"/>
    </row>
    <row r="33" spans="1:8" x14ac:dyDescent="0.3">
      <c r="A33" s="7" t="s">
        <v>43</v>
      </c>
      <c r="B33" s="4">
        <v>-0.80300000000000005</v>
      </c>
      <c r="C33" s="4">
        <v>0.36299999999999999</v>
      </c>
      <c r="D33" s="4">
        <v>0.28000000000000003</v>
      </c>
      <c r="E33" s="4">
        <v>-0.14888999999999999</v>
      </c>
      <c r="F33" s="12"/>
      <c r="G33" s="4"/>
      <c r="H33" s="11"/>
    </row>
    <row r="34" spans="1:8" x14ac:dyDescent="0.3">
      <c r="A34" s="7" t="s">
        <v>44</v>
      </c>
      <c r="B34" s="4">
        <v>-0.86299999999999999</v>
      </c>
      <c r="C34" s="4">
        <v>0.33800000000000002</v>
      </c>
      <c r="D34" s="4">
        <v>0.28000000000000003</v>
      </c>
      <c r="E34" s="4">
        <v>-0.12762000000000001</v>
      </c>
      <c r="F34" s="12"/>
      <c r="G34" s="4"/>
      <c r="H34" s="11"/>
    </row>
    <row r="35" spans="1:8" x14ac:dyDescent="0.3">
      <c r="A35" s="7" t="s">
        <v>45</v>
      </c>
      <c r="B35" s="4">
        <v>-0.98299999999999998</v>
      </c>
      <c r="C35" s="4">
        <v>0.29699999999999999</v>
      </c>
      <c r="D35" s="4">
        <v>0.28000000000000003</v>
      </c>
      <c r="E35" s="4">
        <v>-8.5080000000000003E-2</v>
      </c>
      <c r="F35" s="12"/>
      <c r="G35" s="4"/>
      <c r="H35" s="11"/>
    </row>
    <row r="36" spans="1:8" x14ac:dyDescent="0.3">
      <c r="A36" s="7" t="s">
        <v>46</v>
      </c>
      <c r="B36" s="4">
        <v>-1.036</v>
      </c>
      <c r="C36" s="4">
        <v>0.28100000000000003</v>
      </c>
      <c r="D36" s="4">
        <v>0.28000000000000003</v>
      </c>
      <c r="E36" s="4">
        <v>-6.3810000000000006E-2</v>
      </c>
      <c r="F36" s="12"/>
      <c r="G36" s="4"/>
      <c r="H36" s="11"/>
    </row>
    <row r="37" spans="1:8" x14ac:dyDescent="0.3">
      <c r="A37" s="7" t="s">
        <v>47</v>
      </c>
      <c r="B37" s="4">
        <v>-1.079</v>
      </c>
      <c r="C37" s="4">
        <v>0.27</v>
      </c>
      <c r="D37" s="4">
        <v>0.28000000000000003</v>
      </c>
      <c r="E37" s="4">
        <v>-4.2540000000000001E-2</v>
      </c>
      <c r="F37" s="12"/>
      <c r="G37" s="4"/>
      <c r="H37" s="11"/>
    </row>
    <row r="38" spans="1:8" x14ac:dyDescent="0.3">
      <c r="A38" s="7" t="s">
        <v>48</v>
      </c>
      <c r="B38" s="4">
        <v>-1.107</v>
      </c>
      <c r="C38" s="4">
        <v>0.26300000000000001</v>
      </c>
      <c r="D38" s="4">
        <v>0.28000000000000003</v>
      </c>
      <c r="E38" s="4">
        <v>-2.1270000000000001E-2</v>
      </c>
      <c r="F38" s="12"/>
      <c r="G38" s="4"/>
      <c r="H38" s="11"/>
    </row>
    <row r="39" spans="1:8" x14ac:dyDescent="0.3">
      <c r="A39" s="7" t="s">
        <v>49</v>
      </c>
      <c r="B39" s="4">
        <v>-1.117</v>
      </c>
      <c r="C39" s="4">
        <v>0.26100000000000001</v>
      </c>
      <c r="D39" s="4">
        <v>0.28000000000000003</v>
      </c>
      <c r="E39" s="4">
        <v>0</v>
      </c>
      <c r="F39" s="12"/>
      <c r="G39" s="4"/>
      <c r="H39" s="11"/>
    </row>
    <row r="40" spans="1:8" x14ac:dyDescent="0.3">
      <c r="A40" s="7" t="s">
        <v>50</v>
      </c>
      <c r="B40" s="4">
        <v>-1.107</v>
      </c>
      <c r="C40" s="4">
        <v>0.26300000000000001</v>
      </c>
      <c r="D40" s="4">
        <v>0.28000000000000003</v>
      </c>
      <c r="E40" s="4">
        <v>2.1270000000000001E-2</v>
      </c>
      <c r="F40" s="12"/>
      <c r="G40" s="4"/>
      <c r="H40" s="11"/>
    </row>
    <row r="41" spans="1:8" x14ac:dyDescent="0.3">
      <c r="A41" s="7" t="s">
        <v>51</v>
      </c>
      <c r="B41" s="4">
        <v>-1.079</v>
      </c>
      <c r="C41" s="4">
        <v>0.27</v>
      </c>
      <c r="D41" s="4">
        <v>0.28000000000000003</v>
      </c>
      <c r="E41" s="4">
        <v>4.2540000000000001E-2</v>
      </c>
      <c r="F41" s="12"/>
      <c r="G41" s="4"/>
      <c r="H41" s="11"/>
    </row>
    <row r="42" spans="1:8" x14ac:dyDescent="0.3">
      <c r="A42" s="7" t="s">
        <v>52</v>
      </c>
      <c r="B42" s="4">
        <v>-1.036</v>
      </c>
      <c r="C42" s="4">
        <v>0.28100000000000003</v>
      </c>
      <c r="D42" s="4">
        <v>0.28000000000000003</v>
      </c>
      <c r="E42" s="4">
        <v>6.3810000000000006E-2</v>
      </c>
      <c r="F42" s="12"/>
      <c r="G42" s="4"/>
      <c r="H42" s="11"/>
    </row>
    <row r="43" spans="1:8" x14ac:dyDescent="0.3">
      <c r="A43" s="7" t="s">
        <v>53</v>
      </c>
      <c r="B43" s="4">
        <v>-0.98299999999999998</v>
      </c>
      <c r="C43" s="4">
        <v>0.29699999999999999</v>
      </c>
      <c r="D43" s="4">
        <v>0.28000000000000003</v>
      </c>
      <c r="E43" s="4">
        <v>8.5080000000000003E-2</v>
      </c>
      <c r="F43" s="12"/>
      <c r="G43" s="4"/>
      <c r="H43" s="11"/>
    </row>
    <row r="44" spans="1:8" x14ac:dyDescent="0.3">
      <c r="A44" s="7" t="s">
        <v>54</v>
      </c>
      <c r="B44" s="4">
        <v>-0.86299999999999999</v>
      </c>
      <c r="C44" s="4">
        <v>0.33800000000000002</v>
      </c>
      <c r="D44" s="4">
        <v>0.28000000000000003</v>
      </c>
      <c r="E44" s="4">
        <v>0.12762000000000001</v>
      </c>
      <c r="F44" s="12"/>
      <c r="G44" s="4"/>
      <c r="H44" s="11"/>
    </row>
    <row r="45" spans="1:8" x14ac:dyDescent="0.3">
      <c r="A45" s="7" t="s">
        <v>55</v>
      </c>
      <c r="B45" s="4">
        <v>-0.80300000000000005</v>
      </c>
      <c r="C45" s="4">
        <v>0.36299999999999999</v>
      </c>
      <c r="D45" s="4">
        <v>0.28000000000000003</v>
      </c>
      <c r="E45" s="4">
        <v>0.14888999999999999</v>
      </c>
      <c r="F45" s="12"/>
      <c r="G45" s="4"/>
      <c r="H45" s="11"/>
    </row>
    <row r="46" spans="1:8" x14ac:dyDescent="0.3">
      <c r="A46" s="7" t="s">
        <v>56</v>
      </c>
      <c r="B46" s="4">
        <v>-0.747</v>
      </c>
      <c r="C46" s="4">
        <v>0.39</v>
      </c>
      <c r="D46" s="4">
        <v>0.28000000000000003</v>
      </c>
      <c r="E46" s="4">
        <v>0.17016000000000001</v>
      </c>
      <c r="F46" s="12"/>
      <c r="G46" s="4"/>
      <c r="H46" s="11"/>
    </row>
    <row r="47" spans="1:8" x14ac:dyDescent="0.3">
      <c r="A47" s="7" t="s">
        <v>57</v>
      </c>
      <c r="B47" s="4">
        <v>-1.079</v>
      </c>
      <c r="C47" s="4">
        <v>0.27</v>
      </c>
      <c r="D47" s="4">
        <v>0.11</v>
      </c>
      <c r="E47" s="4">
        <v>4.2540000000000001E-2</v>
      </c>
      <c r="F47" s="12"/>
      <c r="G47" s="4"/>
      <c r="H47" s="4"/>
    </row>
    <row r="48" spans="1:8" x14ac:dyDescent="0.3">
      <c r="A48" s="7" t="s">
        <v>58</v>
      </c>
      <c r="B48" s="4">
        <v>-1.079</v>
      </c>
      <c r="C48" s="4">
        <v>0.27</v>
      </c>
      <c r="D48" s="4">
        <v>0.1</v>
      </c>
      <c r="E48" s="4">
        <v>4.2540000000000001E-2</v>
      </c>
      <c r="F48" s="12"/>
      <c r="G48" s="4"/>
      <c r="H48" s="4"/>
    </row>
    <row r="49" spans="1:8" x14ac:dyDescent="0.3">
      <c r="A49" s="7" t="s">
        <v>59</v>
      </c>
      <c r="B49" s="4">
        <v>-1.079</v>
      </c>
      <c r="C49" s="4">
        <v>0.27</v>
      </c>
      <c r="D49" s="4">
        <v>8.5000000000000006E-2</v>
      </c>
      <c r="E49" s="4">
        <v>4.2540000000000001E-2</v>
      </c>
      <c r="F49" s="12"/>
      <c r="G49" s="4"/>
      <c r="H49" s="4"/>
    </row>
    <row r="50" spans="1:8" x14ac:dyDescent="0.3">
      <c r="A50" s="7" t="s">
        <v>60</v>
      </c>
      <c r="B50" s="4">
        <v>-1.079</v>
      </c>
      <c r="C50" s="4">
        <v>0.27</v>
      </c>
      <c r="D50" s="4">
        <v>7.4999999999999997E-2</v>
      </c>
      <c r="E50" s="4">
        <v>4.2540000000000001E-2</v>
      </c>
      <c r="F50" s="12"/>
      <c r="G50" s="4"/>
      <c r="H50" s="4"/>
    </row>
    <row r="51" spans="1:8" x14ac:dyDescent="0.3">
      <c r="A51" s="7" t="s">
        <v>61</v>
      </c>
      <c r="B51" s="4">
        <v>-1.079</v>
      </c>
      <c r="C51" s="4">
        <v>0.15</v>
      </c>
      <c r="D51" s="4">
        <v>0.09</v>
      </c>
      <c r="E51" s="4">
        <v>4.2540000000000001E-2</v>
      </c>
      <c r="F51" s="12"/>
      <c r="G51" s="4"/>
      <c r="H51" s="4"/>
    </row>
    <row r="52" spans="1:8" x14ac:dyDescent="0.3">
      <c r="A52" s="7" t="s">
        <v>62</v>
      </c>
      <c r="B52" s="4">
        <v>-1.079</v>
      </c>
      <c r="C52" s="4">
        <v>0.15</v>
      </c>
      <c r="D52" s="4">
        <v>0.08</v>
      </c>
      <c r="E52" s="4">
        <v>4.2540000000000001E-2</v>
      </c>
      <c r="F52" s="12"/>
      <c r="G52" s="4"/>
      <c r="H52" s="4"/>
    </row>
    <row r="53" spans="1:8" x14ac:dyDescent="0.3">
      <c r="A53" s="7" t="s">
        <v>63</v>
      </c>
      <c r="B53" s="4">
        <v>-1.079</v>
      </c>
      <c r="C53" s="4">
        <v>0.15</v>
      </c>
      <c r="D53" s="4">
        <v>7.0000000000000007E-2</v>
      </c>
      <c r="E53" s="4">
        <v>4.2540000000000001E-2</v>
      </c>
      <c r="F53" s="12"/>
      <c r="G53" s="4"/>
      <c r="H53" s="4"/>
    </row>
    <row r="54" spans="1:8" x14ac:dyDescent="0.3">
      <c r="A54" s="7" t="s">
        <v>64</v>
      </c>
      <c r="B54" s="4">
        <v>-1.079</v>
      </c>
      <c r="C54" s="4">
        <v>0.15</v>
      </c>
      <c r="D54" s="4">
        <v>6.5000000000000002E-2</v>
      </c>
      <c r="E54" s="4">
        <v>4.2540000000000001E-2</v>
      </c>
      <c r="F54" s="12"/>
      <c r="G54" s="4"/>
      <c r="H54" s="4"/>
    </row>
    <row r="55" spans="1:8" x14ac:dyDescent="0.3">
      <c r="A55" s="7" t="s">
        <v>65</v>
      </c>
      <c r="B55" s="4">
        <v>-1.079</v>
      </c>
      <c r="C55" s="4">
        <v>0.15</v>
      </c>
      <c r="D55" s="4">
        <v>0.06</v>
      </c>
      <c r="E55" s="4">
        <v>4.2540000000000001E-2</v>
      </c>
      <c r="F55" s="12"/>
      <c r="G55" s="4"/>
      <c r="H55" s="4"/>
    </row>
    <row r="56" spans="1:8" x14ac:dyDescent="0.3">
      <c r="A56" s="7" t="s">
        <v>66</v>
      </c>
      <c r="B56" s="4">
        <v>-1.079</v>
      </c>
      <c r="C56" s="4">
        <v>0.2</v>
      </c>
      <c r="D56" s="4">
        <v>0.1</v>
      </c>
      <c r="E56" s="4">
        <v>4.2540000000000001E-2</v>
      </c>
      <c r="F56" s="12"/>
      <c r="G56" s="4"/>
      <c r="H56" s="4"/>
    </row>
    <row r="57" spans="1:8" x14ac:dyDescent="0.3">
      <c r="A57" s="7" t="s">
        <v>67</v>
      </c>
      <c r="B57" s="4">
        <v>-1.079</v>
      </c>
      <c r="C57" s="4">
        <v>0.2</v>
      </c>
      <c r="D57" s="4">
        <v>0.09</v>
      </c>
      <c r="E57" s="4">
        <v>4.2540000000000001E-2</v>
      </c>
      <c r="F57" s="12"/>
      <c r="G57" s="4"/>
      <c r="H57" s="4"/>
    </row>
    <row r="58" spans="1:8" x14ac:dyDescent="0.3">
      <c r="A58" s="7" t="s">
        <v>68</v>
      </c>
      <c r="B58" s="4">
        <v>-1.079</v>
      </c>
      <c r="C58" s="4">
        <v>0.2</v>
      </c>
      <c r="D58" s="4">
        <v>0.08</v>
      </c>
      <c r="E58" s="4">
        <v>4.2540000000000001E-2</v>
      </c>
      <c r="F58" s="12"/>
      <c r="G58" s="4"/>
      <c r="H58" s="4"/>
    </row>
    <row r="59" spans="1:8" x14ac:dyDescent="0.3">
      <c r="A59" s="7" t="s">
        <v>69</v>
      </c>
      <c r="B59" s="4">
        <v>-1.079</v>
      </c>
      <c r="C59" s="4">
        <v>0.2</v>
      </c>
      <c r="D59" s="4">
        <v>7.4999999999999997E-2</v>
      </c>
      <c r="E59" s="4">
        <v>4.2540000000000001E-2</v>
      </c>
      <c r="F59" s="12"/>
      <c r="G59" s="4"/>
      <c r="H59" s="4"/>
    </row>
    <row r="60" spans="1:8" x14ac:dyDescent="0.3">
      <c r="A60" s="7" t="s">
        <v>70</v>
      </c>
      <c r="B60" s="4">
        <v>-1.079</v>
      </c>
      <c r="C60" s="4">
        <v>0.2</v>
      </c>
      <c r="D60" s="4">
        <v>7.0000000000000007E-2</v>
      </c>
      <c r="E60" s="4">
        <v>4.2540000000000001E-2</v>
      </c>
      <c r="F60" s="12"/>
      <c r="G60" s="4"/>
      <c r="H60" s="4"/>
    </row>
    <row r="61" spans="1:8" x14ac:dyDescent="0.3">
      <c r="A61" s="7" t="s">
        <v>71</v>
      </c>
      <c r="B61" s="4">
        <v>-1.079</v>
      </c>
      <c r="C61" s="4">
        <v>0.2</v>
      </c>
      <c r="D61" s="4">
        <v>6.5000000000000002E-2</v>
      </c>
      <c r="E61" s="4">
        <v>4.2540000000000001E-2</v>
      </c>
      <c r="F61" s="12"/>
      <c r="G61" s="4"/>
      <c r="H61" s="4"/>
    </row>
    <row r="62" spans="1:8" x14ac:dyDescent="0.3">
      <c r="A62" s="7" t="s">
        <v>72</v>
      </c>
      <c r="B62" s="4">
        <v>-1.079</v>
      </c>
      <c r="C62" s="4">
        <v>0.2</v>
      </c>
      <c r="D62" s="4">
        <v>0.06</v>
      </c>
      <c r="E62" s="4">
        <v>4.2540000000000001E-2</v>
      </c>
      <c r="F62" s="12"/>
      <c r="G62" s="4"/>
      <c r="H62" s="4"/>
    </row>
    <row r="63" spans="1:8" x14ac:dyDescent="0.3">
      <c r="A63" s="7" t="s">
        <v>73</v>
      </c>
      <c r="B63" s="4">
        <v>-0.747</v>
      </c>
      <c r="C63" s="4">
        <v>0.14399999999999999</v>
      </c>
      <c r="D63" s="4">
        <v>0.28000000000000003</v>
      </c>
      <c r="E63" s="4">
        <v>-0.17016000000000001</v>
      </c>
      <c r="F63" s="12"/>
      <c r="G63" s="4"/>
      <c r="H63" s="11"/>
    </row>
    <row r="64" spans="1:8" x14ac:dyDescent="0.3">
      <c r="A64" s="7" t="s">
        <v>74</v>
      </c>
      <c r="B64" s="4">
        <v>-0.80300000000000005</v>
      </c>
      <c r="C64" s="4">
        <v>0.13400000000000001</v>
      </c>
      <c r="D64" s="4">
        <v>0.28000000000000003</v>
      </c>
      <c r="E64" s="4">
        <v>-0.14888999999999999</v>
      </c>
      <c r="F64" s="12"/>
      <c r="G64" s="4"/>
      <c r="H64" s="11"/>
    </row>
    <row r="65" spans="1:8" x14ac:dyDescent="0.3">
      <c r="A65" s="7" t="s">
        <v>75</v>
      </c>
      <c r="B65" s="4">
        <v>-0.86299999999999999</v>
      </c>
      <c r="C65" s="4">
        <v>0.125</v>
      </c>
      <c r="D65" s="4">
        <v>0.28000000000000003</v>
      </c>
      <c r="E65" s="4">
        <v>-0.12762000000000001</v>
      </c>
      <c r="F65" s="12"/>
      <c r="G65" s="4"/>
      <c r="H65" s="11"/>
    </row>
    <row r="66" spans="1:8" x14ac:dyDescent="0.3">
      <c r="A66" s="7" t="s">
        <v>76</v>
      </c>
      <c r="B66" s="4">
        <v>-0.98299999999999998</v>
      </c>
      <c r="C66" s="4">
        <v>0.11</v>
      </c>
      <c r="D66" s="4">
        <v>0.28000000000000003</v>
      </c>
      <c r="E66" s="4">
        <v>-8.5080000000000003E-2</v>
      </c>
      <c r="F66" s="12"/>
      <c r="G66" s="4"/>
      <c r="H66" s="11"/>
    </row>
    <row r="67" spans="1:8" x14ac:dyDescent="0.3">
      <c r="A67" s="7" t="s">
        <v>77</v>
      </c>
      <c r="B67" s="4">
        <v>-1.036</v>
      </c>
      <c r="C67" s="4">
        <v>0.104</v>
      </c>
      <c r="D67" s="4">
        <v>0.28000000000000003</v>
      </c>
      <c r="E67" s="4">
        <v>-6.3810000000000006E-2</v>
      </c>
      <c r="F67" s="12"/>
      <c r="G67" s="4"/>
      <c r="H67" s="11"/>
    </row>
    <row r="68" spans="1:8" x14ac:dyDescent="0.3">
      <c r="A68" s="7" t="s">
        <v>78</v>
      </c>
      <c r="B68" s="4">
        <v>-1.079</v>
      </c>
      <c r="C68" s="4">
        <v>0.1</v>
      </c>
      <c r="D68" s="4">
        <v>0.28000000000000003</v>
      </c>
      <c r="E68" s="4">
        <v>-4.2540000000000001E-2</v>
      </c>
      <c r="F68" s="12"/>
      <c r="G68" s="4"/>
      <c r="H68" s="11"/>
    </row>
    <row r="69" spans="1:8" x14ac:dyDescent="0.3">
      <c r="A69" s="7" t="s">
        <v>79</v>
      </c>
      <c r="B69" s="4">
        <v>-1.107</v>
      </c>
      <c r="C69" s="4">
        <v>9.7000000000000003E-2</v>
      </c>
      <c r="D69" s="4">
        <v>0.28000000000000003</v>
      </c>
      <c r="E69" s="4">
        <v>-2.1270000000000001E-2</v>
      </c>
      <c r="F69" s="12"/>
      <c r="G69" s="4"/>
      <c r="H69" s="11"/>
    </row>
    <row r="70" spans="1:8" x14ac:dyDescent="0.3">
      <c r="A70" s="7" t="s">
        <v>80</v>
      </c>
      <c r="B70" s="4">
        <v>-0.747</v>
      </c>
      <c r="C70" s="4">
        <v>0.10100000000000001</v>
      </c>
      <c r="D70" s="4">
        <v>0.28000000000000003</v>
      </c>
      <c r="E70" s="4">
        <v>-0.17016000000000001</v>
      </c>
      <c r="F70" s="12"/>
      <c r="G70" s="4"/>
      <c r="H70" s="11"/>
    </row>
    <row r="71" spans="1:8" x14ac:dyDescent="0.3">
      <c r="A71" s="7" t="s">
        <v>81</v>
      </c>
      <c r="B71" s="4">
        <v>-0.80300000000000005</v>
      </c>
      <c r="C71" s="4">
        <v>9.4E-2</v>
      </c>
      <c r="D71" s="4">
        <v>0.28000000000000003</v>
      </c>
      <c r="E71" s="4">
        <v>-0.14888999999999999</v>
      </c>
      <c r="F71" s="12"/>
      <c r="G71" s="4"/>
      <c r="H71" s="11"/>
    </row>
    <row r="72" spans="1:8" x14ac:dyDescent="0.3">
      <c r="A72" s="7" t="s">
        <v>82</v>
      </c>
      <c r="B72" s="4">
        <v>-0.86299999999999999</v>
      </c>
      <c r="C72" s="4">
        <v>8.7999999999999995E-2</v>
      </c>
      <c r="D72" s="4">
        <v>0.28000000000000003</v>
      </c>
      <c r="E72" s="4">
        <v>-0.12762000000000001</v>
      </c>
      <c r="F72" s="12"/>
      <c r="G72" s="4"/>
      <c r="H72" s="11"/>
    </row>
    <row r="73" spans="1:8" x14ac:dyDescent="0.3">
      <c r="A73" s="7" t="s">
        <v>83</v>
      </c>
      <c r="B73" s="4">
        <v>-0.98299999999999998</v>
      </c>
      <c r="C73" s="4">
        <v>7.6999999999999999E-2</v>
      </c>
      <c r="D73" s="4">
        <v>0.28000000000000003</v>
      </c>
      <c r="E73" s="4">
        <v>-8.5080000000000003E-2</v>
      </c>
      <c r="F73" s="12"/>
      <c r="G73" s="4"/>
      <c r="H73" s="11"/>
    </row>
    <row r="74" spans="1:8" x14ac:dyDescent="0.3">
      <c r="A74" s="7" t="s">
        <v>84</v>
      </c>
      <c r="B74" s="4">
        <v>-1.036</v>
      </c>
      <c r="C74" s="4">
        <v>7.2999999999999995E-2</v>
      </c>
      <c r="D74" s="4">
        <v>0.28000000000000003</v>
      </c>
      <c r="E74" s="4">
        <v>-6.3810000000000006E-2</v>
      </c>
      <c r="F74" s="12"/>
      <c r="G74" s="4"/>
      <c r="H74" s="11"/>
    </row>
    <row r="75" spans="1:8" x14ac:dyDescent="0.3">
      <c r="A75" s="7" t="s">
        <v>85</v>
      </c>
      <c r="B75" s="4">
        <v>-1.079</v>
      </c>
      <c r="C75" s="4">
        <v>7.0000000000000007E-2</v>
      </c>
      <c r="D75" s="4">
        <v>0.28000000000000003</v>
      </c>
      <c r="E75" s="4">
        <v>-4.2540000000000001E-2</v>
      </c>
      <c r="F75" s="12"/>
      <c r="G75" s="4"/>
      <c r="H75" s="11"/>
    </row>
    <row r="76" spans="1:8" x14ac:dyDescent="0.3">
      <c r="A76" s="7" t="s">
        <v>86</v>
      </c>
      <c r="B76" s="4">
        <v>-1.107</v>
      </c>
      <c r="C76" s="4">
        <v>6.8000000000000005E-2</v>
      </c>
      <c r="D76" s="4">
        <v>0.28000000000000003</v>
      </c>
      <c r="E76" s="4">
        <v>-2.1270000000000001E-2</v>
      </c>
      <c r="F76" s="12"/>
      <c r="G76" s="4"/>
      <c r="H76" s="11"/>
    </row>
    <row r="77" spans="1:8" x14ac:dyDescent="0.3">
      <c r="A77" s="7" t="s">
        <v>87</v>
      </c>
      <c r="B77" s="4">
        <v>-0.747</v>
      </c>
      <c r="C77" s="4">
        <v>8.6999999999999994E-2</v>
      </c>
      <c r="D77" s="4">
        <v>0.28000000000000003</v>
      </c>
      <c r="E77" s="4">
        <v>-0.17016000000000001</v>
      </c>
      <c r="F77" s="12"/>
      <c r="G77" s="4"/>
      <c r="H77" s="11"/>
    </row>
    <row r="78" spans="1:8" x14ac:dyDescent="0.3">
      <c r="A78" s="7" t="s">
        <v>88</v>
      </c>
      <c r="B78" s="4">
        <v>-0.80300000000000005</v>
      </c>
      <c r="C78" s="4">
        <v>8.1000000000000003E-2</v>
      </c>
      <c r="D78" s="4">
        <v>0.28000000000000003</v>
      </c>
      <c r="E78" s="4">
        <v>-0.14888999999999999</v>
      </c>
      <c r="F78" s="12"/>
      <c r="G78" s="4"/>
      <c r="H78" s="11"/>
    </row>
    <row r="79" spans="1:8" x14ac:dyDescent="0.3">
      <c r="A79" s="7" t="s">
        <v>89</v>
      </c>
      <c r="B79" s="4">
        <v>-0.86299999999999999</v>
      </c>
      <c r="C79" s="4">
        <v>7.4999999999999997E-2</v>
      </c>
      <c r="D79" s="4">
        <v>0.28000000000000003</v>
      </c>
      <c r="E79" s="4">
        <v>-0.12762000000000001</v>
      </c>
      <c r="F79" s="12"/>
      <c r="G79" s="4"/>
      <c r="H79" s="11"/>
    </row>
    <row r="80" spans="1:8" x14ac:dyDescent="0.3">
      <c r="A80" s="7" t="s">
        <v>90</v>
      </c>
      <c r="B80" s="4">
        <v>-0.98299999999999998</v>
      </c>
      <c r="C80" s="4">
        <v>6.6000000000000003E-2</v>
      </c>
      <c r="D80" s="4">
        <v>0.28000000000000003</v>
      </c>
      <c r="E80" s="4">
        <v>-8.5080000000000003E-2</v>
      </c>
      <c r="F80" s="12"/>
      <c r="G80" s="4"/>
      <c r="H80" s="11"/>
    </row>
    <row r="81" spans="1:8" x14ac:dyDescent="0.3">
      <c r="A81" s="7" t="s">
        <v>91</v>
      </c>
      <c r="B81" s="4">
        <v>-1.036</v>
      </c>
      <c r="C81" s="4">
        <v>6.2E-2</v>
      </c>
      <c r="D81" s="4">
        <v>0.28000000000000003</v>
      </c>
      <c r="E81" s="4">
        <v>-6.3810000000000006E-2</v>
      </c>
      <c r="F81" s="12"/>
      <c r="G81" s="4"/>
      <c r="H81" s="11"/>
    </row>
    <row r="82" spans="1:8" x14ac:dyDescent="0.3">
      <c r="A82" s="7" t="s">
        <v>92</v>
      </c>
      <c r="B82" s="4">
        <v>-1.079</v>
      </c>
      <c r="C82" s="4">
        <v>0.06</v>
      </c>
      <c r="D82" s="4">
        <v>0.28000000000000003</v>
      </c>
      <c r="E82" s="4">
        <v>-4.2540000000000001E-2</v>
      </c>
      <c r="F82" s="12"/>
      <c r="G82" s="4"/>
      <c r="H82" s="11"/>
    </row>
    <row r="83" spans="1:8" x14ac:dyDescent="0.3">
      <c r="A83" s="7" t="s">
        <v>93</v>
      </c>
      <c r="B83" s="4">
        <v>-1.107</v>
      </c>
      <c r="C83" s="4">
        <v>5.8000000000000003E-2</v>
      </c>
      <c r="D83" s="4">
        <v>0.28000000000000003</v>
      </c>
      <c r="E83" s="4">
        <v>-2.1270000000000001E-2</v>
      </c>
      <c r="F83" s="12"/>
      <c r="G83" s="4"/>
      <c r="H83" s="11"/>
    </row>
    <row r="84" spans="1:8" x14ac:dyDescent="0.3">
      <c r="A84" s="7" t="s">
        <v>94</v>
      </c>
      <c r="B84" s="4">
        <v>-0.747</v>
      </c>
      <c r="C84" s="4">
        <v>0.104</v>
      </c>
      <c r="D84" s="4">
        <v>0.28000000000000003</v>
      </c>
      <c r="E84" s="4">
        <v>-0.17016000000000001</v>
      </c>
      <c r="F84" s="12"/>
      <c r="G84" s="4"/>
      <c r="H84" s="11"/>
    </row>
    <row r="85" spans="1:8" x14ac:dyDescent="0.3">
      <c r="A85" s="7" t="s">
        <v>95</v>
      </c>
      <c r="B85" s="4">
        <v>-0.80300000000000005</v>
      </c>
      <c r="C85" s="4">
        <v>6.7000000000000004E-2</v>
      </c>
      <c r="D85" s="4">
        <v>0.28000000000000003</v>
      </c>
      <c r="E85" s="4">
        <v>-0.14888999999999999</v>
      </c>
      <c r="F85" s="12"/>
      <c r="G85" s="4"/>
      <c r="H85" s="11"/>
    </row>
    <row r="86" spans="1:8" x14ac:dyDescent="0.3">
      <c r="A86" s="7" t="s">
        <v>96</v>
      </c>
      <c r="B86" s="4">
        <v>-0.86299999999999999</v>
      </c>
      <c r="C86" s="4">
        <v>6.3E-2</v>
      </c>
      <c r="D86" s="4">
        <v>0.28000000000000003</v>
      </c>
      <c r="E86" s="4">
        <v>-0.12762000000000001</v>
      </c>
      <c r="F86" s="12"/>
      <c r="G86" s="4"/>
      <c r="H86" s="11"/>
    </row>
    <row r="87" spans="1:8" x14ac:dyDescent="0.3">
      <c r="A87" s="7" t="s">
        <v>97</v>
      </c>
      <c r="B87" s="4">
        <v>-0.98299999999999998</v>
      </c>
      <c r="C87" s="4">
        <v>5.5E-2</v>
      </c>
      <c r="D87" s="4">
        <v>0.28000000000000003</v>
      </c>
      <c r="E87" s="4">
        <v>-8.5080000000000003E-2</v>
      </c>
      <c r="F87" s="12"/>
      <c r="G87" s="4"/>
      <c r="H87" s="11"/>
    </row>
    <row r="88" spans="1:8" x14ac:dyDescent="0.3">
      <c r="A88" s="7" t="s">
        <v>98</v>
      </c>
      <c r="B88" s="4">
        <v>-1.036</v>
      </c>
      <c r="C88" s="4">
        <v>5.1999999999999998E-2</v>
      </c>
      <c r="D88" s="4">
        <v>0.28000000000000003</v>
      </c>
      <c r="E88" s="4">
        <v>-6.3810000000000006E-2</v>
      </c>
      <c r="F88" s="12"/>
      <c r="G88" s="4"/>
      <c r="H88" s="11"/>
    </row>
    <row r="89" spans="1:8" x14ac:dyDescent="0.3">
      <c r="A89" s="7" t="s">
        <v>99</v>
      </c>
      <c r="B89" s="4">
        <v>-1.079</v>
      </c>
      <c r="C89" s="4">
        <v>0.05</v>
      </c>
      <c r="D89" s="4">
        <v>0.28000000000000003</v>
      </c>
      <c r="E89" s="4">
        <v>-4.2540000000000001E-2</v>
      </c>
      <c r="F89" s="12"/>
      <c r="G89" s="4"/>
      <c r="H89" s="11"/>
    </row>
    <row r="90" spans="1:8" x14ac:dyDescent="0.3">
      <c r="A90" s="7" t="s">
        <v>100</v>
      </c>
      <c r="B90" s="4">
        <v>-1.107</v>
      </c>
      <c r="C90" s="4">
        <v>4.9000000000000002E-2</v>
      </c>
      <c r="D90" s="4">
        <v>0.28000000000000003</v>
      </c>
      <c r="E90" s="4">
        <v>-2.1270000000000001E-2</v>
      </c>
      <c r="F90" s="12"/>
      <c r="G90" s="4"/>
      <c r="H90" s="1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46F2-2B4B-41F4-B921-068EBB4FDD26}">
  <dimension ref="A1:H91"/>
  <sheetViews>
    <sheetView workbookViewId="0">
      <pane ySplit="3" topLeftCell="A79" activePane="bottomLeft" state="frozen"/>
      <selection pane="bottomLeft" activeCell="B16" sqref="B16"/>
    </sheetView>
  </sheetViews>
  <sheetFormatPr defaultRowHeight="14.4" x14ac:dyDescent="0.3"/>
  <cols>
    <col min="1" max="1" width="10.69921875" customWidth="1"/>
    <col min="2" max="7" width="16.69921875" customWidth="1"/>
    <col min="8" max="8" width="22.69921875" customWidth="1"/>
  </cols>
  <sheetData>
    <row r="1" spans="1:8" x14ac:dyDescent="0.3">
      <c r="A1" s="18" t="s">
        <v>135</v>
      </c>
      <c r="B1" s="18"/>
      <c r="C1" s="18"/>
      <c r="D1" s="18"/>
      <c r="E1" s="18"/>
      <c r="F1" s="18"/>
      <c r="G1" s="18"/>
      <c r="H1" s="18"/>
    </row>
    <row r="2" spans="1:8" ht="72" customHeight="1" x14ac:dyDescent="0.3">
      <c r="A2" s="13"/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6</v>
      </c>
      <c r="H2" s="13" t="s">
        <v>11</v>
      </c>
    </row>
    <row r="3" spans="1:8" s="1" customFormat="1" ht="14.4" customHeigh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6" t="s">
        <v>3</v>
      </c>
      <c r="H3" s="5" t="s">
        <v>12</v>
      </c>
    </row>
    <row r="4" spans="1:8" x14ac:dyDescent="0.3">
      <c r="A4" s="7" t="s">
        <v>13</v>
      </c>
      <c r="B4" s="11">
        <v>7.2243478260869562E-2</v>
      </c>
      <c r="C4" s="11">
        <v>0.24882173913043479</v>
      </c>
      <c r="D4" s="11">
        <v>2.3242645316557677</v>
      </c>
      <c r="E4" s="11">
        <v>0.25486555517198228</v>
      </c>
      <c r="F4" s="12">
        <f>E4/D4*100</f>
        <v>10.965428061255157</v>
      </c>
      <c r="G4" s="4">
        <v>1</v>
      </c>
      <c r="H4" s="11">
        <v>0.50895322423965528</v>
      </c>
    </row>
    <row r="5" spans="1:8" x14ac:dyDescent="0.3">
      <c r="A5" s="7" t="s">
        <v>14</v>
      </c>
      <c r="B5" s="11">
        <v>0.11239130434782608</v>
      </c>
      <c r="C5" s="11">
        <v>0.35310434782608691</v>
      </c>
      <c r="D5" s="11">
        <v>5.0820770745678203</v>
      </c>
      <c r="E5" s="11">
        <v>0.70725163388281498</v>
      </c>
      <c r="F5" s="12">
        <f t="shared" ref="F5:F91" si="0">E5/D5*100</f>
        <v>13.916586141955738</v>
      </c>
      <c r="G5" s="4">
        <v>1</v>
      </c>
      <c r="H5" s="11">
        <v>0.72921524802636528</v>
      </c>
    </row>
    <row r="6" spans="1:8" x14ac:dyDescent="0.3">
      <c r="A6" s="7" t="s">
        <v>15</v>
      </c>
      <c r="B6" s="11">
        <v>0.13662173913043477</v>
      </c>
      <c r="C6" s="11">
        <v>0.41181304347826081</v>
      </c>
      <c r="D6" s="11">
        <v>7.2106768603343081</v>
      </c>
      <c r="E6" s="11">
        <v>1.1029202496245363</v>
      </c>
      <c r="F6" s="12">
        <f t="shared" si="0"/>
        <v>15.295654915444395</v>
      </c>
      <c r="G6" s="4">
        <v>1</v>
      </c>
      <c r="H6" s="11">
        <v>0.8505338212842295</v>
      </c>
    </row>
    <row r="7" spans="1:8" x14ac:dyDescent="0.3">
      <c r="A7" s="7" t="s">
        <v>16</v>
      </c>
      <c r="B7" s="11">
        <v>0.15247391304347827</v>
      </c>
      <c r="C7" s="11">
        <v>0.44843478260869563</v>
      </c>
      <c r="D7" s="11">
        <v>8.7795979293227528</v>
      </c>
      <c r="E7" s="11">
        <v>1.404968109504475</v>
      </c>
      <c r="F7" s="12">
        <f t="shared" si="0"/>
        <v>16.002647510907742</v>
      </c>
      <c r="G7" s="4">
        <v>1</v>
      </c>
      <c r="H7" s="11">
        <v>0.886310312468922</v>
      </c>
    </row>
    <row r="8" spans="1:8" x14ac:dyDescent="0.3">
      <c r="A8" s="7" t="s">
        <v>17</v>
      </c>
      <c r="B8" s="11">
        <v>0.16851304347826088</v>
      </c>
      <c r="C8" s="11">
        <v>0.48522173913043476</v>
      </c>
      <c r="D8" s="11">
        <v>10.518750461756719</v>
      </c>
      <c r="E8" s="11">
        <v>1.7852900467681625</v>
      </c>
      <c r="F8" s="12">
        <f t="shared" si="0"/>
        <v>16.972453650830349</v>
      </c>
      <c r="G8" s="4">
        <v>1</v>
      </c>
      <c r="H8" s="11">
        <v>0.95241870819725505</v>
      </c>
    </row>
    <row r="9" spans="1:8" x14ac:dyDescent="0.3">
      <c r="A9" s="7" t="s">
        <v>18</v>
      </c>
      <c r="B9" s="11">
        <v>0.20707826086956518</v>
      </c>
      <c r="C9" s="11">
        <v>0.56789565217391302</v>
      </c>
      <c r="D9" s="11">
        <v>15.366870019397719</v>
      </c>
      <c r="E9" s="11">
        <v>2.7680599901959937</v>
      </c>
      <c r="F9" s="12">
        <f t="shared" si="0"/>
        <v>18.013167201270331</v>
      </c>
      <c r="G9" s="4">
        <v>1</v>
      </c>
      <c r="H9" s="11">
        <v>1.0967202638112066</v>
      </c>
    </row>
    <row r="10" spans="1:8" x14ac:dyDescent="0.3">
      <c r="A10" s="7" t="s">
        <v>19</v>
      </c>
      <c r="B10" s="11">
        <v>0.22842173913043479</v>
      </c>
      <c r="C10" s="11">
        <v>0.61287391304347827</v>
      </c>
      <c r="D10" s="11">
        <v>18.404428331017581</v>
      </c>
      <c r="E10" s="11">
        <v>3.4360325929736781</v>
      </c>
      <c r="F10" s="12">
        <f t="shared" si="0"/>
        <v>18.669596964241595</v>
      </c>
      <c r="G10" s="4">
        <v>1</v>
      </c>
      <c r="H10" s="11">
        <v>1.1659197333325155</v>
      </c>
    </row>
    <row r="11" spans="1:8" x14ac:dyDescent="0.3">
      <c r="A11" s="7" t="s">
        <v>20</v>
      </c>
      <c r="B11" s="11">
        <v>0.26199565217391302</v>
      </c>
      <c r="C11" s="11">
        <v>0.68411739130434779</v>
      </c>
      <c r="D11" s="11">
        <v>23.930874744909353</v>
      </c>
      <c r="E11" s="11">
        <v>4.987022901087613</v>
      </c>
      <c r="F11" s="12">
        <f t="shared" si="0"/>
        <v>20.839283788188592</v>
      </c>
      <c r="G11" s="4">
        <v>1</v>
      </c>
      <c r="H11" s="11">
        <v>1.2465471885210861</v>
      </c>
    </row>
    <row r="12" spans="1:8" x14ac:dyDescent="0.3">
      <c r="A12" s="7" t="s">
        <v>21</v>
      </c>
      <c r="B12" s="11">
        <v>0.30194782608695647</v>
      </c>
      <c r="C12" s="11">
        <v>0.76724782608695652</v>
      </c>
      <c r="D12" s="11">
        <v>32.506562866565034</v>
      </c>
      <c r="E12" s="11">
        <v>7.5833277184205414</v>
      </c>
      <c r="F12" s="12">
        <f t="shared" si="0"/>
        <v>23.328605209812732</v>
      </c>
      <c r="G12" s="4">
        <v>1</v>
      </c>
      <c r="H12" s="11">
        <v>1.3297363759404246</v>
      </c>
    </row>
    <row r="13" spans="1:8" x14ac:dyDescent="0.3">
      <c r="A13" s="7" t="s">
        <v>22</v>
      </c>
      <c r="B13" s="11"/>
      <c r="C13" s="11"/>
      <c r="D13" s="11"/>
      <c r="E13" s="11"/>
      <c r="F13" s="12"/>
      <c r="G13" s="4"/>
      <c r="H13" s="4"/>
    </row>
    <row r="14" spans="1:8" x14ac:dyDescent="0.3">
      <c r="A14" s="7" t="s">
        <v>23</v>
      </c>
      <c r="B14" s="11"/>
      <c r="C14" s="11"/>
      <c r="D14" s="11"/>
      <c r="E14" s="11"/>
      <c r="F14" s="12"/>
      <c r="G14" s="4"/>
      <c r="H14" s="4"/>
    </row>
    <row r="15" spans="1:8" x14ac:dyDescent="0.3">
      <c r="A15" s="7" t="s">
        <v>24</v>
      </c>
      <c r="B15" s="11"/>
      <c r="C15" s="11"/>
      <c r="D15" s="11"/>
      <c r="E15" s="11"/>
      <c r="F15" s="12"/>
      <c r="G15" s="4"/>
      <c r="H15" s="4"/>
    </row>
    <row r="16" spans="1:8" x14ac:dyDescent="0.3">
      <c r="A16" s="7" t="s">
        <v>25</v>
      </c>
      <c r="B16" s="11"/>
      <c r="C16" s="11"/>
      <c r="D16" s="11"/>
      <c r="E16" s="11"/>
      <c r="F16" s="12"/>
      <c r="G16" s="4"/>
      <c r="H16" s="4"/>
    </row>
    <row r="17" spans="1:8" x14ac:dyDescent="0.3">
      <c r="A17" s="7" t="s">
        <v>26</v>
      </c>
      <c r="B17" s="11">
        <v>1.3847826086956521E-2</v>
      </c>
      <c r="C17" s="11">
        <v>4.7247826086956518E-2</v>
      </c>
      <c r="D17" s="11">
        <v>0.18247446180002544</v>
      </c>
      <c r="E17" s="11">
        <v>5.8056167390279356E-3</v>
      </c>
      <c r="F17" s="12">
        <f t="shared" si="0"/>
        <v>3.1816050759970653</v>
      </c>
      <c r="G17" s="4">
        <v>1</v>
      </c>
      <c r="H17" s="11">
        <v>7.7826010877455359E-2</v>
      </c>
    </row>
    <row r="18" spans="1:8" x14ac:dyDescent="0.3">
      <c r="A18" s="7" t="s">
        <v>27</v>
      </c>
      <c r="B18" s="11">
        <v>3.1269565217391299E-2</v>
      </c>
      <c r="C18" s="11">
        <v>0.10681304347826086</v>
      </c>
      <c r="D18" s="11">
        <v>0.94719860489739838</v>
      </c>
      <c r="E18" s="11">
        <v>3.5053902125894432E-2</v>
      </c>
      <c r="F18" s="12">
        <f t="shared" si="0"/>
        <v>3.7007974826664265</v>
      </c>
      <c r="G18" s="4">
        <v>1</v>
      </c>
      <c r="H18" s="11">
        <v>0.17603957806533591</v>
      </c>
    </row>
    <row r="19" spans="1:8" x14ac:dyDescent="0.3">
      <c r="A19" s="7" t="s">
        <v>28</v>
      </c>
      <c r="B19" s="11">
        <v>4.3721739130434784E-2</v>
      </c>
      <c r="C19" s="11">
        <v>0.14728695652173915</v>
      </c>
      <c r="D19" s="11">
        <v>1.8762704074224332</v>
      </c>
      <c r="E19" s="11">
        <v>7.6706505261136204E-2</v>
      </c>
      <c r="F19" s="12">
        <f t="shared" si="0"/>
        <v>4.0882436219048728</v>
      </c>
      <c r="G19" s="4">
        <v>1</v>
      </c>
      <c r="H19" s="11">
        <v>0.24591609477433962</v>
      </c>
    </row>
    <row r="20" spans="1:8" x14ac:dyDescent="0.3">
      <c r="A20" s="7" t="s">
        <v>29</v>
      </c>
      <c r="B20" s="11">
        <v>5.6652173913043474E-2</v>
      </c>
      <c r="C20" s="11">
        <v>0.18757826086956522</v>
      </c>
      <c r="D20" s="11">
        <v>2.8586715509417497</v>
      </c>
      <c r="E20" s="11">
        <v>0.12781305321060676</v>
      </c>
      <c r="F20" s="12">
        <f t="shared" si="0"/>
        <v>4.4710646512888319</v>
      </c>
      <c r="G20" s="4">
        <v>1</v>
      </c>
      <c r="H20" s="11">
        <v>0.32100107580663384</v>
      </c>
    </row>
    <row r="21" spans="1:8" x14ac:dyDescent="0.3">
      <c r="A21" s="7" t="s">
        <v>30</v>
      </c>
      <c r="B21" s="11">
        <v>6.9634782608695642E-2</v>
      </c>
      <c r="C21" s="11">
        <v>0.22781304347826087</v>
      </c>
      <c r="D21" s="11">
        <v>3.8652219330039523</v>
      </c>
      <c r="E21" s="11">
        <v>0.1944598620952509</v>
      </c>
      <c r="F21" s="12">
        <f t="shared" si="0"/>
        <v>5.0310141426761916</v>
      </c>
      <c r="G21" s="4">
        <v>1</v>
      </c>
      <c r="H21" s="11">
        <v>0.3956228417212867</v>
      </c>
    </row>
    <row r="22" spans="1:8" x14ac:dyDescent="0.3">
      <c r="A22" s="7" t="s">
        <v>31</v>
      </c>
      <c r="B22" s="11">
        <v>9.2743478260869552E-2</v>
      </c>
      <c r="C22" s="11">
        <v>0.29329565217391307</v>
      </c>
      <c r="D22" s="11">
        <v>5.8209115755607801</v>
      </c>
      <c r="E22" s="11">
        <v>0.37152621990863199</v>
      </c>
      <c r="F22" s="12">
        <f t="shared" si="0"/>
        <v>6.3826123294587171</v>
      </c>
      <c r="G22" s="4">
        <v>1</v>
      </c>
      <c r="H22" s="11">
        <v>0.52545198768244161</v>
      </c>
    </row>
    <row r="23" spans="1:8" x14ac:dyDescent="0.3">
      <c r="A23" s="7" t="s">
        <v>32</v>
      </c>
      <c r="B23" s="11">
        <v>0.10173043478260868</v>
      </c>
      <c r="C23" s="11">
        <v>0.31767826086956524</v>
      </c>
      <c r="D23" s="11">
        <v>6.4656573129807429</v>
      </c>
      <c r="E23" s="11">
        <v>0.44757435188737738</v>
      </c>
      <c r="F23" s="12">
        <f t="shared" si="0"/>
        <v>6.9223333409397849</v>
      </c>
      <c r="G23" s="4">
        <v>1</v>
      </c>
      <c r="H23" s="11">
        <v>0.57962734714535613</v>
      </c>
    </row>
    <row r="24" spans="1:8" x14ac:dyDescent="0.3">
      <c r="A24" s="7" t="s">
        <v>33</v>
      </c>
      <c r="B24" s="11">
        <v>0.11677391304347826</v>
      </c>
      <c r="C24" s="11">
        <v>0.35676956521739134</v>
      </c>
      <c r="D24" s="11">
        <v>7.4803263355896679</v>
      </c>
      <c r="E24" s="11">
        <v>0.61716395503427268</v>
      </c>
      <c r="F24" s="12">
        <f t="shared" si="0"/>
        <v>8.2504950632694847</v>
      </c>
      <c r="G24" s="4">
        <v>1</v>
      </c>
      <c r="H24" s="11">
        <v>0.65896233611425226</v>
      </c>
    </row>
    <row r="25" spans="1:8" x14ac:dyDescent="0.3">
      <c r="A25" s="7" t="s">
        <v>34</v>
      </c>
      <c r="B25" s="11">
        <v>0.1663217391304348</v>
      </c>
      <c r="C25" s="11">
        <v>0.47640434782608693</v>
      </c>
      <c r="D25" s="11">
        <v>11.312919901122692</v>
      </c>
      <c r="E25" s="11">
        <v>1.5228997037805936</v>
      </c>
      <c r="F25" s="12">
        <f t="shared" si="0"/>
        <v>13.461597156976786</v>
      </c>
      <c r="G25" s="4">
        <v>1</v>
      </c>
      <c r="H25" s="11">
        <v>0.93746826583151721</v>
      </c>
    </row>
    <row r="26" spans="1:8" x14ac:dyDescent="0.3">
      <c r="A26" s="7" t="s">
        <v>35</v>
      </c>
      <c r="B26" s="11">
        <v>0.20707826086956518</v>
      </c>
      <c r="C26" s="11">
        <v>0.56789565217391302</v>
      </c>
      <c r="D26" s="11">
        <v>15.366870019397719</v>
      </c>
      <c r="E26" s="11">
        <v>2.7680599901959937</v>
      </c>
      <c r="F26" s="12">
        <f t="shared" si="0"/>
        <v>18.013167201270331</v>
      </c>
      <c r="G26" s="4">
        <v>1</v>
      </c>
      <c r="H26" s="11">
        <v>1.0967202638112066</v>
      </c>
    </row>
    <row r="27" spans="1:8" x14ac:dyDescent="0.3">
      <c r="A27" s="7" t="s">
        <v>36</v>
      </c>
      <c r="B27" s="11">
        <v>0.24713913043478258</v>
      </c>
      <c r="C27" s="11">
        <v>0.65288260869565207</v>
      </c>
      <c r="D27" s="11">
        <v>20.708541072378765</v>
      </c>
      <c r="E27" s="11">
        <v>5.177935391915689</v>
      </c>
      <c r="F27" s="12">
        <f t="shared" si="0"/>
        <v>25.003863738243084</v>
      </c>
      <c r="G27" s="4">
        <v>1</v>
      </c>
      <c r="H27" s="11">
        <v>1.2703131434230215</v>
      </c>
    </row>
    <row r="28" spans="1:8" x14ac:dyDescent="0.3">
      <c r="A28" s="7" t="s">
        <v>37</v>
      </c>
      <c r="B28" s="11">
        <v>0.2755260869565217</v>
      </c>
      <c r="C28" s="11">
        <v>0.71423043478260873</v>
      </c>
      <c r="D28" s="11">
        <v>27.131167126235965</v>
      </c>
      <c r="E28" s="11">
        <v>7.4799732615920398</v>
      </c>
      <c r="F28" s="12">
        <f t="shared" si="0"/>
        <v>27.569670065387164</v>
      </c>
      <c r="G28" s="4">
        <v>1</v>
      </c>
      <c r="H28" s="11">
        <v>1.3854566781708271</v>
      </c>
    </row>
    <row r="29" spans="1:8" x14ac:dyDescent="0.3">
      <c r="A29" s="7" t="s">
        <v>38</v>
      </c>
      <c r="B29" s="11"/>
      <c r="C29" s="11"/>
      <c r="D29" s="11"/>
      <c r="E29" s="11"/>
      <c r="F29" s="12"/>
      <c r="G29" s="4"/>
      <c r="H29" s="4"/>
    </row>
    <row r="30" spans="1:8" x14ac:dyDescent="0.3">
      <c r="A30" s="7" t="s">
        <v>39</v>
      </c>
      <c r="B30" s="11"/>
      <c r="C30" s="11"/>
      <c r="D30" s="11"/>
      <c r="E30" s="11"/>
      <c r="F30" s="12"/>
      <c r="G30" s="4"/>
      <c r="H30" s="4"/>
    </row>
    <row r="31" spans="1:8" x14ac:dyDescent="0.3">
      <c r="A31" s="7" t="s">
        <v>40</v>
      </c>
      <c r="B31" s="11"/>
      <c r="C31" s="11"/>
      <c r="D31" s="11"/>
      <c r="E31" s="11"/>
      <c r="F31" s="12"/>
      <c r="G31" s="4"/>
      <c r="H31" s="4"/>
    </row>
    <row r="32" spans="1:8" x14ac:dyDescent="0.3">
      <c r="A32" s="7" t="s">
        <v>41</v>
      </c>
      <c r="B32" s="11"/>
      <c r="C32" s="11"/>
      <c r="D32" s="11"/>
      <c r="E32" s="11"/>
      <c r="F32" s="12"/>
      <c r="G32" s="4"/>
      <c r="H32" s="4"/>
    </row>
    <row r="33" spans="1:8" x14ac:dyDescent="0.3">
      <c r="A33" s="7" t="s">
        <v>42</v>
      </c>
      <c r="B33" s="11">
        <v>9.3043478260869561E-2</v>
      </c>
      <c r="C33" s="11">
        <v>0.38758695652173913</v>
      </c>
      <c r="D33" s="11">
        <v>31.628051585786817</v>
      </c>
      <c r="E33" s="11">
        <v>5.7393371410305356</v>
      </c>
      <c r="F33" s="12">
        <f t="shared" si="0"/>
        <v>18.146350638967938</v>
      </c>
      <c r="G33" s="4">
        <v>3</v>
      </c>
      <c r="H33" s="11">
        <v>1.2207981015914195</v>
      </c>
    </row>
    <row r="34" spans="1:8" x14ac:dyDescent="0.3">
      <c r="A34" s="7" t="s">
        <v>43</v>
      </c>
      <c r="B34" s="11">
        <v>8.7473913043478263E-2</v>
      </c>
      <c r="C34" s="11">
        <v>0.36659999999999998</v>
      </c>
      <c r="D34" s="11">
        <v>28.917936525445921</v>
      </c>
      <c r="E34" s="11">
        <v>5.3569967703289088</v>
      </c>
      <c r="F34" s="12">
        <f t="shared" si="0"/>
        <v>18.524823739118094</v>
      </c>
      <c r="G34" s="4">
        <v>3</v>
      </c>
      <c r="H34" s="11">
        <v>1.1809062912755641</v>
      </c>
    </row>
    <row r="35" spans="1:8" x14ac:dyDescent="0.3">
      <c r="A35" s="7" t="s">
        <v>44</v>
      </c>
      <c r="B35" s="11">
        <v>8.3582608695652177E-2</v>
      </c>
      <c r="C35" s="11">
        <v>0.34492608695652172</v>
      </c>
      <c r="D35" s="11">
        <v>24.405436372896794</v>
      </c>
      <c r="E35" s="11">
        <v>4.5405897283320655</v>
      </c>
      <c r="F35" s="12">
        <f t="shared" si="0"/>
        <v>18.604829100185935</v>
      </c>
      <c r="G35" s="4">
        <v>3</v>
      </c>
      <c r="H35" s="11">
        <v>1.1267362943083812</v>
      </c>
    </row>
    <row r="36" spans="1:8" x14ac:dyDescent="0.3">
      <c r="A36" s="7" t="s">
        <v>45</v>
      </c>
      <c r="B36" s="11">
        <v>8.10391304347826E-2</v>
      </c>
      <c r="C36" s="11">
        <v>0.30732608695652169</v>
      </c>
      <c r="D36" s="11">
        <v>18.95703037486102</v>
      </c>
      <c r="E36" s="11">
        <v>3.4934783715496138</v>
      </c>
      <c r="F36" s="12">
        <f t="shared" si="0"/>
        <v>18.428405200966111</v>
      </c>
      <c r="G36" s="4">
        <v>3</v>
      </c>
      <c r="H36" s="11">
        <v>1.0075444748334028</v>
      </c>
    </row>
    <row r="37" spans="1:8" x14ac:dyDescent="0.3">
      <c r="A37" s="7" t="s">
        <v>46</v>
      </c>
      <c r="B37" s="11">
        <v>0.12176086956521738</v>
      </c>
      <c r="C37" s="11">
        <v>0.37356086956521733</v>
      </c>
      <c r="D37" s="11">
        <v>19.623808694884353</v>
      </c>
      <c r="E37" s="11">
        <v>4.5101358620583767</v>
      </c>
      <c r="F37" s="12">
        <f t="shared" si="0"/>
        <v>22.982979156508517</v>
      </c>
      <c r="G37" s="4">
        <v>1</v>
      </c>
      <c r="H37" s="11">
        <v>1.0724314511550415</v>
      </c>
    </row>
    <row r="38" spans="1:8" x14ac:dyDescent="0.3">
      <c r="A38" s="7" t="s">
        <v>47</v>
      </c>
      <c r="B38" s="11">
        <v>0.12958695652173913</v>
      </c>
      <c r="C38" s="11">
        <v>0.38637391304347823</v>
      </c>
      <c r="D38" s="11">
        <v>14.859928107116877</v>
      </c>
      <c r="E38" s="11">
        <v>3.9911996802541498</v>
      </c>
      <c r="F38" s="12">
        <f t="shared" si="0"/>
        <v>26.858808814442657</v>
      </c>
      <c r="G38" s="4">
        <v>1</v>
      </c>
      <c r="H38" s="11">
        <v>1.0727672041385883</v>
      </c>
    </row>
    <row r="39" spans="1:8" x14ac:dyDescent="0.3">
      <c r="A39" s="7" t="s">
        <v>48</v>
      </c>
      <c r="B39" s="11">
        <v>0.14388695652173911</v>
      </c>
      <c r="C39" s="11">
        <v>0.41604347826086951</v>
      </c>
      <c r="D39" s="11">
        <v>12.652967357495919</v>
      </c>
      <c r="E39" s="11">
        <v>3.0332801454640297</v>
      </c>
      <c r="F39" s="12">
        <f t="shared" si="0"/>
        <v>23.972875767098557</v>
      </c>
      <c r="G39" s="4">
        <v>1</v>
      </c>
      <c r="H39" s="11">
        <v>1.0587247974195455</v>
      </c>
    </row>
    <row r="40" spans="1:8" x14ac:dyDescent="0.3">
      <c r="A40" s="7" t="s">
        <v>49</v>
      </c>
      <c r="B40" s="11">
        <v>0.16240869565217389</v>
      </c>
      <c r="C40" s="11">
        <v>0.4576391304347826</v>
      </c>
      <c r="D40" s="11">
        <v>12.186371843947796</v>
      </c>
      <c r="E40" s="11">
        <v>2.6759191650320151</v>
      </c>
      <c r="F40" s="12">
        <f t="shared" si="0"/>
        <v>21.958292421226059</v>
      </c>
      <c r="G40" s="4">
        <v>1</v>
      </c>
      <c r="H40" s="11">
        <v>1.0635147728909269</v>
      </c>
    </row>
    <row r="41" spans="1:8" x14ac:dyDescent="0.3">
      <c r="A41" s="7" t="s">
        <v>50</v>
      </c>
      <c r="B41" s="11">
        <v>0.18357826086956519</v>
      </c>
      <c r="C41" s="11">
        <v>0.50864347826086953</v>
      </c>
      <c r="D41" s="11">
        <v>13.079467557066966</v>
      </c>
      <c r="E41" s="11">
        <v>2.6849194254856634</v>
      </c>
      <c r="F41" s="12">
        <f t="shared" si="0"/>
        <v>20.527742538227216</v>
      </c>
      <c r="G41" s="4">
        <v>1</v>
      </c>
      <c r="H41" s="11">
        <v>1.0839618926776926</v>
      </c>
    </row>
    <row r="42" spans="1:8" x14ac:dyDescent="0.3">
      <c r="A42" s="7" t="s">
        <v>51</v>
      </c>
      <c r="B42" s="11">
        <v>0.20706956521739131</v>
      </c>
      <c r="C42" s="11">
        <v>0.56790869565217394</v>
      </c>
      <c r="D42" s="11">
        <v>15.366887645720228</v>
      </c>
      <c r="E42" s="11">
        <v>2.7805021209266467</v>
      </c>
      <c r="F42" s="12">
        <f t="shared" si="0"/>
        <v>18.094113688018236</v>
      </c>
      <c r="G42" s="4">
        <v>1</v>
      </c>
      <c r="H42" s="11">
        <v>1.0965464176252326</v>
      </c>
    </row>
    <row r="43" spans="1:8" x14ac:dyDescent="0.3">
      <c r="A43" s="7" t="s">
        <v>52</v>
      </c>
      <c r="B43" s="11">
        <v>0.23516521739130433</v>
      </c>
      <c r="C43" s="11">
        <v>0.63725217391304345</v>
      </c>
      <c r="D43" s="11">
        <v>19.120706426602187</v>
      </c>
      <c r="E43" s="11">
        <v>3.3299931239513967</v>
      </c>
      <c r="F43" s="12">
        <f t="shared" si="0"/>
        <v>17.41563857347057</v>
      </c>
      <c r="G43" s="4">
        <v>1</v>
      </c>
      <c r="H43" s="11">
        <v>1.1557493544670243</v>
      </c>
    </row>
    <row r="44" spans="1:8" x14ac:dyDescent="0.3">
      <c r="A44" s="7" t="s">
        <v>53</v>
      </c>
      <c r="B44" s="11">
        <v>0.26585652173913044</v>
      </c>
      <c r="C44" s="11">
        <v>0.70961304347826082</v>
      </c>
      <c r="D44" s="11">
        <v>24.257925716351078</v>
      </c>
      <c r="E44" s="11">
        <v>4.0058598220392483</v>
      </c>
      <c r="F44" s="12">
        <f t="shared" si="0"/>
        <v>16.513612370983125</v>
      </c>
      <c r="G44" s="4">
        <v>1</v>
      </c>
      <c r="H44" s="11">
        <v>1.222845166451306</v>
      </c>
    </row>
    <row r="45" spans="1:8" x14ac:dyDescent="0.3">
      <c r="A45" s="7" t="s">
        <v>54</v>
      </c>
      <c r="B45" s="11">
        <v>0.33460869565217388</v>
      </c>
      <c r="C45" s="11">
        <v>0.86297826086956519</v>
      </c>
      <c r="D45" s="11">
        <v>38.640693701903992</v>
      </c>
      <c r="E45" s="11">
        <v>6.4620247821025742</v>
      </c>
      <c r="F45" s="12">
        <f t="shared" si="0"/>
        <v>16.723366386624065</v>
      </c>
      <c r="G45" s="4">
        <v>2</v>
      </c>
      <c r="H45" s="11">
        <v>1.3693852887960341</v>
      </c>
    </row>
    <row r="46" spans="1:8" x14ac:dyDescent="0.3">
      <c r="A46" s="7" t="s">
        <v>55</v>
      </c>
      <c r="B46" s="11">
        <v>0.37226086956521737</v>
      </c>
      <c r="C46" s="11">
        <v>0.94437826086956522</v>
      </c>
      <c r="D46" s="11">
        <v>47.733158652192863</v>
      </c>
      <c r="E46" s="11">
        <v>8.3671475876086916</v>
      </c>
      <c r="F46" s="12">
        <f t="shared" si="0"/>
        <v>17.529004624596123</v>
      </c>
      <c r="G46" s="4">
        <v>2</v>
      </c>
      <c r="H46" s="11">
        <v>1.4455279882068532</v>
      </c>
    </row>
    <row r="47" spans="1:8" x14ac:dyDescent="0.3">
      <c r="A47" s="7" t="s">
        <v>56</v>
      </c>
      <c r="B47" s="11">
        <v>0.41098695652173911</v>
      </c>
      <c r="C47" s="11">
        <v>1.0228434782608695</v>
      </c>
      <c r="D47" s="11">
        <v>58.059378868192773</v>
      </c>
      <c r="E47" s="11">
        <v>10.52734284980901</v>
      </c>
      <c r="F47" s="12">
        <f t="shared" si="0"/>
        <v>18.132028028939708</v>
      </c>
      <c r="G47" s="4">
        <v>2</v>
      </c>
      <c r="H47" s="11">
        <v>1.5323378978046558</v>
      </c>
    </row>
    <row r="48" spans="1:8" x14ac:dyDescent="0.3">
      <c r="A48" s="7" t="s">
        <v>57</v>
      </c>
      <c r="B48" s="11"/>
      <c r="C48" s="11"/>
      <c r="D48" s="11"/>
      <c r="E48" s="11"/>
      <c r="F48" s="12"/>
      <c r="G48" s="4"/>
      <c r="H48" s="4"/>
    </row>
    <row r="49" spans="1:8" x14ac:dyDescent="0.3">
      <c r="A49" s="7" t="s">
        <v>58</v>
      </c>
      <c r="B49" s="11"/>
      <c r="C49" s="11"/>
      <c r="D49" s="11"/>
      <c r="E49" s="11"/>
      <c r="F49" s="12"/>
      <c r="G49" s="4"/>
      <c r="H49" s="4"/>
    </row>
    <row r="50" spans="1:8" x14ac:dyDescent="0.3">
      <c r="A50" s="7" t="s">
        <v>59</v>
      </c>
      <c r="B50" s="11"/>
      <c r="C50" s="11"/>
      <c r="D50" s="11"/>
      <c r="E50" s="11"/>
      <c r="F50" s="12"/>
      <c r="G50" s="4"/>
      <c r="H50" s="4"/>
    </row>
    <row r="51" spans="1:8" x14ac:dyDescent="0.3">
      <c r="A51" s="7" t="s">
        <v>60</v>
      </c>
      <c r="B51" s="11"/>
      <c r="C51" s="11"/>
      <c r="D51" s="11"/>
      <c r="E51" s="11"/>
      <c r="F51" s="12"/>
      <c r="G51" s="4"/>
      <c r="H51" s="4"/>
    </row>
    <row r="52" spans="1:8" x14ac:dyDescent="0.3">
      <c r="A52" s="7" t="s">
        <v>61</v>
      </c>
      <c r="B52" s="11"/>
      <c r="C52" s="11"/>
      <c r="D52" s="11"/>
      <c r="E52" s="11"/>
      <c r="F52" s="12"/>
      <c r="G52" s="4"/>
      <c r="H52" s="4"/>
    </row>
    <row r="53" spans="1:8" x14ac:dyDescent="0.3">
      <c r="A53" s="7" t="s">
        <v>62</v>
      </c>
      <c r="B53" s="11"/>
      <c r="C53" s="11"/>
      <c r="D53" s="11"/>
      <c r="E53" s="11"/>
      <c r="F53" s="12"/>
      <c r="G53" s="4"/>
      <c r="H53" s="4"/>
    </row>
    <row r="54" spans="1:8" x14ac:dyDescent="0.3">
      <c r="A54" s="7" t="s">
        <v>63</v>
      </c>
      <c r="B54" s="11"/>
      <c r="C54" s="11"/>
      <c r="D54" s="11"/>
      <c r="E54" s="11"/>
      <c r="F54" s="12"/>
      <c r="G54" s="4"/>
      <c r="H54" s="4"/>
    </row>
    <row r="55" spans="1:8" x14ac:dyDescent="0.3">
      <c r="A55" s="7" t="s">
        <v>64</v>
      </c>
      <c r="B55" s="11"/>
      <c r="C55" s="11"/>
      <c r="D55" s="11"/>
      <c r="E55" s="11"/>
      <c r="F55" s="12"/>
      <c r="G55" s="4"/>
      <c r="H55" s="4"/>
    </row>
    <row r="56" spans="1:8" x14ac:dyDescent="0.3">
      <c r="A56" s="7" t="s">
        <v>65</v>
      </c>
      <c r="B56" s="11"/>
      <c r="C56" s="11"/>
      <c r="D56" s="11"/>
      <c r="E56" s="11"/>
      <c r="F56" s="12"/>
      <c r="G56" s="4"/>
      <c r="H56" s="4"/>
    </row>
    <row r="57" spans="1:8" x14ac:dyDescent="0.3">
      <c r="A57" s="7" t="s">
        <v>66</v>
      </c>
      <c r="B57" s="11"/>
      <c r="C57" s="11"/>
      <c r="D57" s="11"/>
      <c r="E57" s="11"/>
      <c r="F57" s="12"/>
      <c r="G57" s="4"/>
      <c r="H57" s="4"/>
    </row>
    <row r="58" spans="1:8" x14ac:dyDescent="0.3">
      <c r="A58" s="7" t="s">
        <v>67</v>
      </c>
      <c r="B58" s="11"/>
      <c r="C58" s="11"/>
      <c r="D58" s="11"/>
      <c r="E58" s="11"/>
      <c r="F58" s="12"/>
      <c r="G58" s="4"/>
      <c r="H58" s="4"/>
    </row>
    <row r="59" spans="1:8" x14ac:dyDescent="0.3">
      <c r="A59" s="7" t="s">
        <v>68</v>
      </c>
      <c r="B59" s="11"/>
      <c r="C59" s="11"/>
      <c r="D59" s="11"/>
      <c r="E59" s="11"/>
      <c r="F59" s="12"/>
      <c r="G59" s="4"/>
      <c r="H59" s="4"/>
    </row>
    <row r="60" spans="1:8" x14ac:dyDescent="0.3">
      <c r="A60" s="7" t="s">
        <v>69</v>
      </c>
      <c r="B60" s="11"/>
      <c r="C60" s="11"/>
      <c r="D60" s="11"/>
      <c r="E60" s="11"/>
      <c r="F60" s="12"/>
      <c r="G60" s="4"/>
      <c r="H60" s="4"/>
    </row>
    <row r="61" spans="1:8" x14ac:dyDescent="0.3">
      <c r="A61" s="7" t="s">
        <v>70</v>
      </c>
      <c r="B61" s="11"/>
      <c r="C61" s="11"/>
      <c r="D61" s="11"/>
      <c r="E61" s="11"/>
      <c r="F61" s="12"/>
      <c r="G61" s="4"/>
      <c r="H61" s="4"/>
    </row>
    <row r="62" spans="1:8" x14ac:dyDescent="0.3">
      <c r="A62" s="7" t="s">
        <v>71</v>
      </c>
      <c r="B62" s="11"/>
      <c r="C62" s="11"/>
      <c r="D62" s="11"/>
      <c r="E62" s="11"/>
      <c r="F62" s="12"/>
      <c r="G62" s="4"/>
      <c r="H62" s="4"/>
    </row>
    <row r="63" spans="1:8" x14ac:dyDescent="0.3">
      <c r="A63" s="7" t="s">
        <v>72</v>
      </c>
      <c r="B63" s="11"/>
      <c r="C63" s="11"/>
      <c r="D63" s="11"/>
      <c r="E63" s="11"/>
      <c r="F63" s="12"/>
      <c r="G63" s="4"/>
      <c r="H63" s="4"/>
    </row>
    <row r="64" spans="1:8" x14ac:dyDescent="0.3">
      <c r="A64" s="7" t="s">
        <v>73</v>
      </c>
      <c r="B64" s="11">
        <v>6.0495652173913041E-2</v>
      </c>
      <c r="C64" s="11">
        <v>0.25893913043478256</v>
      </c>
      <c r="D64" s="11">
        <v>8.948965851945978</v>
      </c>
      <c r="E64" s="11">
        <v>1.629831017965591</v>
      </c>
      <c r="F64" s="12">
        <f t="shared" si="0"/>
        <v>18.212506840789651</v>
      </c>
      <c r="G64" s="4">
        <v>3</v>
      </c>
      <c r="H64" s="11">
        <v>0.82813172018206971</v>
      </c>
    </row>
    <row r="65" spans="1:8" x14ac:dyDescent="0.3">
      <c r="A65" s="7" t="s">
        <v>74</v>
      </c>
      <c r="B65" s="11">
        <v>5.6939130434782603E-2</v>
      </c>
      <c r="C65" s="11">
        <v>0.24694347826086954</v>
      </c>
      <c r="D65" s="11">
        <v>7.3137327913353802</v>
      </c>
      <c r="E65" s="11">
        <v>1.2894648088603589</v>
      </c>
      <c r="F65" s="12">
        <f t="shared" si="0"/>
        <v>17.630734477857803</v>
      </c>
      <c r="G65" s="4">
        <v>3</v>
      </c>
      <c r="H65" s="11">
        <v>0.78933962495321541</v>
      </c>
    </row>
    <row r="66" spans="1:8" x14ac:dyDescent="0.3">
      <c r="A66" s="7" t="s">
        <v>75</v>
      </c>
      <c r="B66" s="11">
        <v>5.3826086956521739E-2</v>
      </c>
      <c r="C66" s="11">
        <v>0.23482608695652174</v>
      </c>
      <c r="D66" s="11">
        <v>5.8887189103946174</v>
      </c>
      <c r="E66" s="11">
        <v>1.0043015370536059</v>
      </c>
      <c r="F66" s="12">
        <f t="shared" si="0"/>
        <v>17.05466931493093</v>
      </c>
      <c r="G66" s="4">
        <v>3</v>
      </c>
      <c r="H66" s="11">
        <v>0.75562701124137643</v>
      </c>
    </row>
    <row r="67" spans="1:8" x14ac:dyDescent="0.3">
      <c r="A67" s="7" t="s">
        <v>76</v>
      </c>
      <c r="B67" s="11">
        <v>5.029565217391304E-2</v>
      </c>
      <c r="C67" s="11">
        <v>0.21629999999999999</v>
      </c>
      <c r="D67" s="11">
        <v>3.6824667641538991</v>
      </c>
      <c r="E67" s="11">
        <v>0.60141895520657496</v>
      </c>
      <c r="F67" s="12">
        <f t="shared" si="0"/>
        <v>16.331958812526032</v>
      </c>
      <c r="G67" s="4">
        <v>3</v>
      </c>
      <c r="H67" s="11">
        <v>0.66364242247784655</v>
      </c>
    </row>
    <row r="68" spans="1:8" x14ac:dyDescent="0.3">
      <c r="A68" s="7" t="s">
        <v>77</v>
      </c>
      <c r="B68" s="11">
        <v>5.0330434782608693E-2</v>
      </c>
      <c r="C68" s="11">
        <v>0.21053913043478262</v>
      </c>
      <c r="D68" s="11">
        <v>2.9000021655977228</v>
      </c>
      <c r="E68" s="11">
        <v>0.47808691903707423</v>
      </c>
      <c r="F68" s="12">
        <f t="shared" si="0"/>
        <v>16.485743518006483</v>
      </c>
      <c r="G68" s="4">
        <v>3</v>
      </c>
      <c r="H68" s="11">
        <v>0.60995002447166302</v>
      </c>
    </row>
    <row r="69" spans="1:8" x14ac:dyDescent="0.3">
      <c r="A69" s="7" t="s">
        <v>78</v>
      </c>
      <c r="B69" s="11">
        <v>5.1804347826086956E-2</v>
      </c>
      <c r="C69" s="11">
        <v>0.20919565217391303</v>
      </c>
      <c r="D69" s="11">
        <v>2.3412039555345836</v>
      </c>
      <c r="E69" s="11">
        <v>0.37901571174180781</v>
      </c>
      <c r="F69" s="12">
        <f t="shared" si="0"/>
        <v>16.188923260864065</v>
      </c>
      <c r="G69" s="4">
        <v>3</v>
      </c>
      <c r="H69" s="11">
        <v>0.58797874179053955</v>
      </c>
    </row>
    <row r="70" spans="1:8" x14ac:dyDescent="0.3">
      <c r="A70" s="7" t="s">
        <v>79</v>
      </c>
      <c r="B70" s="11">
        <v>5.4613043478260861E-2</v>
      </c>
      <c r="C70" s="11">
        <v>0.21075217391304349</v>
      </c>
      <c r="D70" s="11">
        <v>2.0019527240547523</v>
      </c>
      <c r="E70" s="11">
        <v>0.31599107165617979</v>
      </c>
      <c r="F70" s="12">
        <f t="shared" si="0"/>
        <v>15.784142545392976</v>
      </c>
      <c r="G70" s="4">
        <v>3</v>
      </c>
      <c r="H70" s="11">
        <v>0.54753020853333423</v>
      </c>
    </row>
    <row r="71" spans="1:8" x14ac:dyDescent="0.3">
      <c r="A71" s="7" t="s">
        <v>80</v>
      </c>
      <c r="B71" s="11">
        <v>4.0552173913043478E-2</v>
      </c>
      <c r="C71" s="11">
        <v>0.20373043478260866</v>
      </c>
      <c r="D71" s="11">
        <v>4.4708624213778752</v>
      </c>
      <c r="E71" s="11">
        <v>0.66218685592673587</v>
      </c>
      <c r="F71" s="12">
        <f t="shared" si="0"/>
        <v>14.811166023817313</v>
      </c>
      <c r="G71" s="4">
        <v>3</v>
      </c>
      <c r="H71" s="11">
        <v>0.67295515341290013</v>
      </c>
    </row>
    <row r="72" spans="1:8" x14ac:dyDescent="0.3">
      <c r="A72" s="7" t="s">
        <v>81</v>
      </c>
      <c r="B72" s="11">
        <v>3.7965217391304346E-2</v>
      </c>
      <c r="C72" s="11">
        <v>0.19242173913043475</v>
      </c>
      <c r="D72" s="11">
        <v>3.6488527314568495</v>
      </c>
      <c r="E72" s="11">
        <v>0.53852344572065203</v>
      </c>
      <c r="F72" s="12">
        <f t="shared" si="0"/>
        <v>14.758705964700306</v>
      </c>
      <c r="G72" s="4">
        <v>3</v>
      </c>
      <c r="H72" s="11">
        <v>0.63161138456675081</v>
      </c>
    </row>
    <row r="73" spans="1:8" x14ac:dyDescent="0.3">
      <c r="A73" s="7" t="s">
        <v>82</v>
      </c>
      <c r="B73" s="11">
        <v>3.5960869565217393E-2</v>
      </c>
      <c r="C73" s="11">
        <v>0.18253913043478259</v>
      </c>
      <c r="D73" s="11">
        <v>2.9352678336096258</v>
      </c>
      <c r="E73" s="11">
        <v>0.4288001037929039</v>
      </c>
      <c r="F73" s="12">
        <f t="shared" si="0"/>
        <v>14.608551181702211</v>
      </c>
      <c r="G73" s="4">
        <v>3</v>
      </c>
      <c r="H73" s="11">
        <v>0.57854202727004733</v>
      </c>
    </row>
    <row r="74" spans="1:8" x14ac:dyDescent="0.3">
      <c r="A74" s="7" t="s">
        <v>83</v>
      </c>
      <c r="B74" s="11">
        <v>3.3734782608695654E-2</v>
      </c>
      <c r="C74" s="11">
        <v>0.16598695652173914</v>
      </c>
      <c r="D74" s="11">
        <v>1.8289504232279183</v>
      </c>
      <c r="E74" s="11">
        <v>0.26753072488701801</v>
      </c>
      <c r="F74" s="12">
        <f t="shared" si="0"/>
        <v>14.627554770722135</v>
      </c>
      <c r="G74" s="4">
        <v>3</v>
      </c>
      <c r="H74" s="11">
        <v>0.50679751359830749</v>
      </c>
    </row>
    <row r="75" spans="1:8" x14ac:dyDescent="0.3">
      <c r="A75" s="7" t="s">
        <v>84</v>
      </c>
      <c r="B75" s="11">
        <v>3.3860869565217389E-2</v>
      </c>
      <c r="C75" s="11">
        <v>0.16066086956521738</v>
      </c>
      <c r="D75" s="11">
        <v>1.4413806503542934</v>
      </c>
      <c r="E75" s="11">
        <v>0.20748449452725781</v>
      </c>
      <c r="F75" s="12">
        <f t="shared" si="0"/>
        <v>14.394843893336423</v>
      </c>
      <c r="G75" s="4">
        <v>3</v>
      </c>
      <c r="H75" s="11">
        <v>0.47507661908838755</v>
      </c>
    </row>
    <row r="76" spans="1:8" x14ac:dyDescent="0.3">
      <c r="A76" s="7" t="s">
        <v>85</v>
      </c>
      <c r="B76" s="11">
        <v>3.4913043478260873E-2</v>
      </c>
      <c r="C76" s="11">
        <v>0.15750434782608697</v>
      </c>
      <c r="D76" s="11">
        <v>1.1640348932033318</v>
      </c>
      <c r="E76" s="11">
        <v>0.16561947943245936</v>
      </c>
      <c r="F76" s="12">
        <f t="shared" si="0"/>
        <v>14.228051100486145</v>
      </c>
      <c r="G76" s="4">
        <v>3</v>
      </c>
      <c r="H76" s="11">
        <v>0.43667471093923965</v>
      </c>
    </row>
    <row r="77" spans="1:8" x14ac:dyDescent="0.3">
      <c r="A77" s="7" t="s">
        <v>86</v>
      </c>
      <c r="B77" s="11">
        <v>3.6586956521739135E-2</v>
      </c>
      <c r="C77" s="11">
        <v>0.15768695652173914</v>
      </c>
      <c r="D77" s="11">
        <v>0.99253143404059929</v>
      </c>
      <c r="E77" s="11">
        <v>0.12941573883619828</v>
      </c>
      <c r="F77" s="12">
        <f t="shared" si="0"/>
        <v>13.038956187951278</v>
      </c>
      <c r="G77" s="4">
        <v>3</v>
      </c>
      <c r="H77" s="11">
        <v>0.39105637869171622</v>
      </c>
    </row>
    <row r="78" spans="1:8" x14ac:dyDescent="0.3">
      <c r="A78" s="7" t="s">
        <v>87</v>
      </c>
      <c r="B78" s="11">
        <v>3.359130434782609E-2</v>
      </c>
      <c r="C78" s="11">
        <v>0.18149565217391306</v>
      </c>
      <c r="D78" s="11">
        <v>3.3030813871785631</v>
      </c>
      <c r="E78" s="11">
        <v>0.46587453545438118</v>
      </c>
      <c r="F78" s="12">
        <f t="shared" si="0"/>
        <v>14.104240278872554</v>
      </c>
      <c r="G78" s="4">
        <v>3</v>
      </c>
      <c r="H78" s="11">
        <v>0.59717996042924826</v>
      </c>
    </row>
    <row r="79" spans="1:8" x14ac:dyDescent="0.3">
      <c r="A79" s="7" t="s">
        <v>88</v>
      </c>
      <c r="B79" s="11">
        <v>3.1534782608695654E-2</v>
      </c>
      <c r="C79" s="11">
        <v>0.17156521739130434</v>
      </c>
      <c r="D79" s="11">
        <v>2.6950060421471456</v>
      </c>
      <c r="E79" s="11">
        <v>0.37332203572528222</v>
      </c>
      <c r="F79" s="12">
        <f t="shared" si="0"/>
        <v>13.852363589799294</v>
      </c>
      <c r="G79" s="4">
        <v>3</v>
      </c>
      <c r="H79" s="11">
        <v>0.5661229282403607</v>
      </c>
    </row>
    <row r="80" spans="1:8" x14ac:dyDescent="0.3">
      <c r="A80" s="7" t="s">
        <v>89</v>
      </c>
      <c r="B80" s="11">
        <v>2.9865217391304346E-2</v>
      </c>
      <c r="C80" s="11">
        <v>0.16265652173913042</v>
      </c>
      <c r="D80" s="11">
        <v>2.1654175131094817</v>
      </c>
      <c r="E80" s="11">
        <v>0.29542257400505578</v>
      </c>
      <c r="F80" s="12">
        <f t="shared" si="0"/>
        <v>13.642753520582589</v>
      </c>
      <c r="G80" s="4">
        <v>3</v>
      </c>
      <c r="H80" s="11">
        <v>0.52248524894252391</v>
      </c>
    </row>
    <row r="81" spans="1:8" x14ac:dyDescent="0.3">
      <c r="A81" s="7" t="s">
        <v>90</v>
      </c>
      <c r="B81" s="11">
        <v>2.8382608695652171E-2</v>
      </c>
      <c r="C81" s="11">
        <v>0.14724782608695652</v>
      </c>
      <c r="D81" s="11">
        <v>1.3507976490182088</v>
      </c>
      <c r="E81" s="11">
        <v>0.18319457060244115</v>
      </c>
      <c r="F81" s="12">
        <f t="shared" si="0"/>
        <v>13.561955096352976</v>
      </c>
      <c r="G81" s="4">
        <v>3</v>
      </c>
      <c r="H81" s="11">
        <v>0.44797414828075505</v>
      </c>
    </row>
    <row r="82" spans="1:8" x14ac:dyDescent="0.3">
      <c r="A82" s="7" t="s">
        <v>91</v>
      </c>
      <c r="B82" s="11">
        <v>2.8517391304347824E-2</v>
      </c>
      <c r="C82" s="11">
        <v>0.14123478260869565</v>
      </c>
      <c r="D82" s="11">
        <v>1.063681356400104</v>
      </c>
      <c r="E82" s="11">
        <v>0.14282378870490031</v>
      </c>
      <c r="F82" s="12">
        <f t="shared" si="0"/>
        <v>13.427309583414107</v>
      </c>
      <c r="G82" s="4">
        <v>3</v>
      </c>
      <c r="H82" s="11">
        <v>0.41927196394103278</v>
      </c>
    </row>
    <row r="83" spans="1:8" x14ac:dyDescent="0.3">
      <c r="A83" s="7" t="s">
        <v>92</v>
      </c>
      <c r="B83" s="11">
        <v>2.9378260869565215E-2</v>
      </c>
      <c r="C83" s="11">
        <v>0.13940869565217393</v>
      </c>
      <c r="D83" s="11">
        <v>0.85487147840361866</v>
      </c>
      <c r="E83" s="11">
        <v>0.11057821958704106</v>
      </c>
      <c r="F83" s="12">
        <f t="shared" si="0"/>
        <v>12.935069467229635</v>
      </c>
      <c r="G83" s="4">
        <v>3</v>
      </c>
      <c r="H83" s="11">
        <v>0.3688498517200805</v>
      </c>
    </row>
    <row r="84" spans="1:8" x14ac:dyDescent="0.3">
      <c r="A84" s="7" t="s">
        <v>93</v>
      </c>
      <c r="B84" s="11">
        <v>3.026086956521739E-2</v>
      </c>
      <c r="C84" s="11">
        <v>0.13694782608695652</v>
      </c>
      <c r="D84" s="11">
        <v>0.73094298972144089</v>
      </c>
      <c r="E84" s="11">
        <v>9.0608827442973827E-2</v>
      </c>
      <c r="F84" s="12">
        <f t="shared" si="0"/>
        <v>12.396155201858416</v>
      </c>
      <c r="G84" s="4">
        <v>3</v>
      </c>
      <c r="H84" s="11">
        <v>0.3521040380176233</v>
      </c>
    </row>
    <row r="85" spans="1:8" x14ac:dyDescent="0.3">
      <c r="A85" s="7" t="s">
        <v>94</v>
      </c>
      <c r="B85" s="11">
        <v>2.6830434782608697E-2</v>
      </c>
      <c r="C85" s="11">
        <v>0.15761304347826086</v>
      </c>
      <c r="D85" s="11">
        <v>2.3057198540902761</v>
      </c>
      <c r="E85" s="11">
        <v>0.3041171327316321</v>
      </c>
      <c r="F85" s="12">
        <f t="shared" si="0"/>
        <v>13.189682701137246</v>
      </c>
      <c r="G85" s="4">
        <v>3</v>
      </c>
      <c r="H85" s="11">
        <v>0.51526234927434311</v>
      </c>
    </row>
    <row r="86" spans="1:8" x14ac:dyDescent="0.3">
      <c r="A86" s="7" t="s">
        <v>95</v>
      </c>
      <c r="B86" s="11">
        <v>2.528695652173913E-2</v>
      </c>
      <c r="C86" s="11">
        <v>0.14923478260869566</v>
      </c>
      <c r="D86" s="11">
        <v>1.8792687386509552</v>
      </c>
      <c r="E86" s="11">
        <v>0.2431715112736561</v>
      </c>
      <c r="F86" s="12">
        <f t="shared" si="0"/>
        <v>12.939687989926247</v>
      </c>
      <c r="G86" s="4">
        <v>3</v>
      </c>
      <c r="H86" s="11">
        <v>0.48767035086939897</v>
      </c>
    </row>
    <row r="87" spans="1:8" x14ac:dyDescent="0.3">
      <c r="A87" s="7" t="s">
        <v>96</v>
      </c>
      <c r="B87" s="11">
        <v>2.4160869565217392E-2</v>
      </c>
      <c r="C87" s="11">
        <v>0.14107826086956521</v>
      </c>
      <c r="D87" s="11">
        <v>1.5133015174484183</v>
      </c>
      <c r="E87" s="11">
        <v>0.19414838001229184</v>
      </c>
      <c r="F87" s="12">
        <f t="shared" si="0"/>
        <v>12.829457829372028</v>
      </c>
      <c r="G87" s="4">
        <v>3</v>
      </c>
      <c r="H87" s="11">
        <v>0.45949339350619728</v>
      </c>
    </row>
    <row r="88" spans="1:8" x14ac:dyDescent="0.3">
      <c r="A88" s="7" t="s">
        <v>97</v>
      </c>
      <c r="B88" s="11">
        <v>2.3182608695652172E-2</v>
      </c>
      <c r="C88" s="11">
        <v>0.12660869565217392</v>
      </c>
      <c r="D88" s="11">
        <v>0.94321028634475057</v>
      </c>
      <c r="E88" s="11">
        <v>0.11741469695460116</v>
      </c>
      <c r="F88" s="12">
        <f t="shared" si="0"/>
        <v>12.448411415191584</v>
      </c>
      <c r="G88" s="4">
        <v>3</v>
      </c>
      <c r="H88" s="11">
        <v>0.39362245574477622</v>
      </c>
    </row>
    <row r="89" spans="1:8" x14ac:dyDescent="0.3">
      <c r="A89" s="7" t="s">
        <v>98</v>
      </c>
      <c r="B89" s="11">
        <v>2.3004347826086954E-2</v>
      </c>
      <c r="C89" s="11">
        <v>0.122</v>
      </c>
      <c r="D89" s="11">
        <v>0.7393301167481946</v>
      </c>
      <c r="E89" s="11">
        <v>9.1617923600830875E-2</v>
      </c>
      <c r="F89" s="12">
        <f t="shared" si="0"/>
        <v>12.392018331918521</v>
      </c>
      <c r="G89" s="4">
        <v>3</v>
      </c>
      <c r="H89" s="11">
        <v>0.34543555751520577</v>
      </c>
    </row>
    <row r="90" spans="1:8" x14ac:dyDescent="0.3">
      <c r="A90" s="7" t="s">
        <v>99</v>
      </c>
      <c r="B90" s="11">
        <v>2.2982608695652173E-2</v>
      </c>
      <c r="C90" s="11">
        <v>0.11700869565217391</v>
      </c>
      <c r="D90" s="11">
        <v>0.59375054133010785</v>
      </c>
      <c r="E90" s="11">
        <v>7.1861626683906277E-2</v>
      </c>
      <c r="F90" s="12">
        <f t="shared" si="0"/>
        <v>12.102999775448344</v>
      </c>
      <c r="G90" s="4">
        <v>3</v>
      </c>
      <c r="H90" s="11">
        <v>0.32191973771109134</v>
      </c>
    </row>
    <row r="91" spans="1:8" x14ac:dyDescent="0.3">
      <c r="A91" s="7" t="s">
        <v>100</v>
      </c>
      <c r="B91" s="11">
        <v>2.4643478260869565E-2</v>
      </c>
      <c r="C91" s="11">
        <v>0.11649130434782609</v>
      </c>
      <c r="D91" s="11">
        <v>0.5094808935570817</v>
      </c>
      <c r="E91" s="11">
        <v>5.8454602680713785E-2</v>
      </c>
      <c r="F91" s="12">
        <f t="shared" si="0"/>
        <v>11.473365030942931</v>
      </c>
      <c r="G91" s="4">
        <v>3</v>
      </c>
      <c r="H91" s="11">
        <v>0.3001759300518046</v>
      </c>
    </row>
  </sheetData>
  <mergeCells count="1">
    <mergeCell ref="A1:H1"/>
  </mergeCells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729B-2CE5-45F7-AFFA-50FB69B0E055}">
  <dimension ref="A1:H91"/>
  <sheetViews>
    <sheetView workbookViewId="0">
      <pane ySplit="3" topLeftCell="A49" activePane="bottomLeft" state="frozen"/>
      <selection pane="bottomLeft" sqref="A1:H1"/>
    </sheetView>
  </sheetViews>
  <sheetFormatPr defaultRowHeight="14.4" x14ac:dyDescent="0.3"/>
  <cols>
    <col min="1" max="1" width="10.69921875" customWidth="1"/>
    <col min="2" max="7" width="16.69921875" customWidth="1"/>
    <col min="8" max="8" width="22.69921875" customWidth="1"/>
  </cols>
  <sheetData>
    <row r="1" spans="1:8" s="10" customFormat="1" x14ac:dyDescent="0.3">
      <c r="A1" s="18" t="s">
        <v>136</v>
      </c>
      <c r="B1" s="18"/>
      <c r="C1" s="18"/>
      <c r="D1" s="18"/>
      <c r="E1" s="18"/>
      <c r="F1" s="18"/>
      <c r="G1" s="18"/>
      <c r="H1" s="18"/>
    </row>
    <row r="2" spans="1:8" ht="72" customHeight="1" x14ac:dyDescent="0.3">
      <c r="A2" s="13"/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6</v>
      </c>
      <c r="H2" s="13" t="s">
        <v>11</v>
      </c>
    </row>
    <row r="3" spans="1:8" s="1" customFormat="1" ht="14.4" customHeigh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6" t="s">
        <v>3</v>
      </c>
      <c r="H3" s="5" t="s">
        <v>12</v>
      </c>
    </row>
    <row r="4" spans="1:8" x14ac:dyDescent="0.3">
      <c r="A4" s="7" t="s">
        <v>13</v>
      </c>
      <c r="B4" s="11">
        <v>7.6860869565217385E-2</v>
      </c>
      <c r="C4" s="11">
        <v>0.26109565217391306</v>
      </c>
      <c r="D4" s="11">
        <v>2.3362711622977659</v>
      </c>
      <c r="E4" s="11">
        <v>0.37512503133247121</v>
      </c>
      <c r="F4" s="12">
        <f>E4/D4*100</f>
        <v>16.056570717738467</v>
      </c>
      <c r="G4" s="4">
        <v>1</v>
      </c>
      <c r="H4" s="11">
        <v>0.57965131674377834</v>
      </c>
    </row>
    <row r="5" spans="1:8" x14ac:dyDescent="0.3">
      <c r="A5" s="7" t="s">
        <v>14</v>
      </c>
      <c r="B5" s="11">
        <v>0.1204304347826087</v>
      </c>
      <c r="C5" s="11">
        <v>0.36790869565217388</v>
      </c>
      <c r="D5" s="11">
        <v>5.1236867660814189</v>
      </c>
      <c r="E5" s="11">
        <v>1.0630834779194753</v>
      </c>
      <c r="F5" s="12">
        <f t="shared" ref="F5:F26" si="0">E5/D5*100</f>
        <v>20.748408840232802</v>
      </c>
      <c r="G5" s="4">
        <v>1</v>
      </c>
      <c r="H5" s="11">
        <v>0.83922627302717889</v>
      </c>
    </row>
    <row r="6" spans="1:8" x14ac:dyDescent="0.3">
      <c r="A6" s="7" t="s">
        <v>15</v>
      </c>
      <c r="B6" s="11">
        <v>0.14752173913043479</v>
      </c>
      <c r="C6" s="11">
        <v>0.4281913043478261</v>
      </c>
      <c r="D6" s="11">
        <v>7.2807252804316169</v>
      </c>
      <c r="E6" s="11">
        <v>1.6773485192350668</v>
      </c>
      <c r="F6" s="12">
        <f t="shared" si="0"/>
        <v>23.038206423517604</v>
      </c>
      <c r="G6" s="4">
        <v>1</v>
      </c>
      <c r="H6" s="11">
        <v>0.9313868339754815</v>
      </c>
    </row>
    <row r="7" spans="1:8" x14ac:dyDescent="0.3">
      <c r="A7" s="7" t="s">
        <v>16</v>
      </c>
      <c r="B7" s="11">
        <v>0.16516086956521739</v>
      </c>
      <c r="C7" s="11">
        <v>0.46599130434782604</v>
      </c>
      <c r="D7" s="11">
        <v>8.8765331897054942</v>
      </c>
      <c r="E7" s="11">
        <v>2.1561323716010898</v>
      </c>
      <c r="F7" s="12">
        <f t="shared" si="0"/>
        <v>24.290253024701709</v>
      </c>
      <c r="G7" s="4">
        <v>1</v>
      </c>
      <c r="H7" s="11">
        <v>1.0165070933438933</v>
      </c>
    </row>
    <row r="8" spans="1:8" x14ac:dyDescent="0.3">
      <c r="A8" s="7" t="s">
        <v>17</v>
      </c>
      <c r="B8" s="11">
        <v>0.18366521739130434</v>
      </c>
      <c r="C8" s="11">
        <v>0.50412173913043479</v>
      </c>
      <c r="D8" s="11">
        <v>10.649212113093474</v>
      </c>
      <c r="E8" s="11">
        <v>2.6998205411248195</v>
      </c>
      <c r="F8" s="12">
        <f t="shared" si="0"/>
        <v>25.352303179362185</v>
      </c>
      <c r="G8" s="4">
        <v>1</v>
      </c>
      <c r="H8" s="11">
        <v>1.0794082070568871</v>
      </c>
    </row>
    <row r="9" spans="1:8" x14ac:dyDescent="0.3">
      <c r="A9" s="7" t="s">
        <v>18</v>
      </c>
      <c r="B9" s="11">
        <v>0.22946956521739129</v>
      </c>
      <c r="C9" s="11">
        <v>0.59700869565217385</v>
      </c>
      <c r="D9" s="11">
        <v>15.611794737273177</v>
      </c>
      <c r="E9" s="11">
        <v>4.3744004220154213</v>
      </c>
      <c r="F9" s="12">
        <f t="shared" si="0"/>
        <v>28.019843302010212</v>
      </c>
      <c r="G9" s="4">
        <v>1</v>
      </c>
      <c r="H9" s="11">
        <v>1.2246924470651313</v>
      </c>
    </row>
    <row r="10" spans="1:8" x14ac:dyDescent="0.3">
      <c r="A10" s="7" t="s">
        <v>19</v>
      </c>
      <c r="B10" s="11">
        <v>0.25575652173913044</v>
      </c>
      <c r="C10" s="11">
        <v>0.64437826086956518</v>
      </c>
      <c r="D10" s="11">
        <v>18.72843650315864</v>
      </c>
      <c r="E10" s="11">
        <v>5.465345383572398</v>
      </c>
      <c r="F10" s="12">
        <f t="shared" si="0"/>
        <v>29.182069643937663</v>
      </c>
      <c r="G10" s="4">
        <v>1</v>
      </c>
      <c r="H10" s="11">
        <v>1.2857640110714728</v>
      </c>
    </row>
    <row r="11" spans="1:8" x14ac:dyDescent="0.3">
      <c r="A11" s="7" t="s">
        <v>20</v>
      </c>
      <c r="B11" s="11">
        <v>0.29806086956521738</v>
      </c>
      <c r="C11" s="11">
        <v>0.72127826086956526</v>
      </c>
      <c r="D11" s="11">
        <v>24.428851683206716</v>
      </c>
      <c r="E11" s="11">
        <v>7.5027824894184008</v>
      </c>
      <c r="F11" s="12">
        <f t="shared" si="0"/>
        <v>30.712792343719077</v>
      </c>
      <c r="G11" s="4">
        <v>1</v>
      </c>
      <c r="H11" s="11">
        <v>1.3779754834947191</v>
      </c>
    </row>
    <row r="12" spans="1:8" x14ac:dyDescent="0.3">
      <c r="A12" s="7" t="s">
        <v>21</v>
      </c>
      <c r="B12" s="11">
        <v>0.35213043478260869</v>
      </c>
      <c r="C12" s="11">
        <v>0.81317826086956524</v>
      </c>
      <c r="D12" s="11">
        <v>33.438225172722071</v>
      </c>
      <c r="E12" s="11">
        <v>10.939106190927301</v>
      </c>
      <c r="F12" s="12">
        <f t="shared" si="0"/>
        <v>32.714374445480757</v>
      </c>
      <c r="G12" s="4">
        <v>1</v>
      </c>
      <c r="H12" s="11">
        <v>1.483848016290543</v>
      </c>
    </row>
    <row r="13" spans="1:8" x14ac:dyDescent="0.3">
      <c r="A13" s="7" t="s">
        <v>22</v>
      </c>
      <c r="B13" s="11"/>
      <c r="C13" s="11"/>
      <c r="D13" s="11"/>
      <c r="E13" s="11"/>
      <c r="F13" s="12"/>
      <c r="G13" s="4"/>
      <c r="H13" s="4"/>
    </row>
    <row r="14" spans="1:8" x14ac:dyDescent="0.3">
      <c r="A14" s="7" t="s">
        <v>23</v>
      </c>
      <c r="B14" s="11"/>
      <c r="C14" s="11"/>
      <c r="D14" s="11"/>
      <c r="E14" s="11"/>
      <c r="F14" s="12"/>
      <c r="G14" s="4"/>
      <c r="H14" s="4"/>
    </row>
    <row r="15" spans="1:8" x14ac:dyDescent="0.3">
      <c r="A15" s="7" t="s">
        <v>24</v>
      </c>
      <c r="B15" s="11"/>
      <c r="C15" s="11"/>
      <c r="D15" s="11"/>
      <c r="E15" s="11"/>
      <c r="F15" s="12"/>
      <c r="G15" s="4"/>
      <c r="H15" s="4"/>
    </row>
    <row r="16" spans="1:8" x14ac:dyDescent="0.3">
      <c r="A16" s="7" t="s">
        <v>25</v>
      </c>
      <c r="B16" s="11"/>
      <c r="C16" s="11"/>
      <c r="D16" s="11"/>
      <c r="E16" s="11"/>
      <c r="F16" s="12"/>
      <c r="G16" s="4"/>
      <c r="H16" s="4"/>
    </row>
    <row r="17" spans="1:8" x14ac:dyDescent="0.3">
      <c r="A17" s="7" t="s">
        <v>26</v>
      </c>
      <c r="B17" s="11">
        <v>1.7065217391304347E-2</v>
      </c>
      <c r="C17" s="11">
        <v>5.7608695652173907E-2</v>
      </c>
      <c r="D17" s="11">
        <v>0.18753113321648962</v>
      </c>
      <c r="E17" s="11">
        <v>1.0796379188880739E-2</v>
      </c>
      <c r="F17" s="12">
        <f t="shared" si="0"/>
        <v>5.7571129676997082</v>
      </c>
      <c r="G17" s="4">
        <v>3</v>
      </c>
      <c r="H17" s="11">
        <v>0.11271904602675156</v>
      </c>
    </row>
    <row r="18" spans="1:8" x14ac:dyDescent="0.3">
      <c r="A18" s="7" t="s">
        <v>27</v>
      </c>
      <c r="B18" s="11">
        <v>3.8613043478260868E-2</v>
      </c>
      <c r="C18" s="11">
        <v>0.12825217391304347</v>
      </c>
      <c r="D18" s="11">
        <v>0.96982702757997896</v>
      </c>
      <c r="E18" s="11">
        <v>6.2001575360616457E-2</v>
      </c>
      <c r="F18" s="12">
        <f t="shared" si="0"/>
        <v>6.3930550085131914</v>
      </c>
      <c r="G18" s="4">
        <v>1</v>
      </c>
      <c r="H18" s="11">
        <v>0.24138741700060212</v>
      </c>
    </row>
    <row r="19" spans="1:8" x14ac:dyDescent="0.3">
      <c r="A19" s="7" t="s">
        <v>28</v>
      </c>
      <c r="B19" s="11">
        <v>5.434782608695652E-2</v>
      </c>
      <c r="C19" s="11">
        <v>0.17551739130434782</v>
      </c>
      <c r="D19" s="11">
        <v>1.9261883653404912</v>
      </c>
      <c r="E19" s="11">
        <v>0.14012783939094553</v>
      </c>
      <c r="F19" s="12">
        <f t="shared" si="0"/>
        <v>7.2748772608319232</v>
      </c>
      <c r="G19" s="4">
        <v>1</v>
      </c>
      <c r="H19" s="11">
        <v>0.34116070775008461</v>
      </c>
    </row>
    <row r="20" spans="1:8" x14ac:dyDescent="0.3">
      <c r="A20" s="7" t="s">
        <v>29</v>
      </c>
      <c r="B20" s="11">
        <v>6.9952173913043467E-2</v>
      </c>
      <c r="C20" s="11">
        <v>0.22084347826086956</v>
      </c>
      <c r="D20" s="11">
        <v>2.9300080104547357</v>
      </c>
      <c r="E20" s="11">
        <v>0.23923119155993477</v>
      </c>
      <c r="F20" s="12">
        <f t="shared" si="0"/>
        <v>8.1648647616770926</v>
      </c>
      <c r="G20" s="4">
        <v>1</v>
      </c>
      <c r="H20" s="11">
        <v>0.43255854068053967</v>
      </c>
    </row>
    <row r="21" spans="1:8" x14ac:dyDescent="0.3">
      <c r="A21" s="7" t="s">
        <v>30</v>
      </c>
      <c r="B21" s="11">
        <v>8.5447826086956516E-2</v>
      </c>
      <c r="C21" s="11">
        <v>0.26322608695652172</v>
      </c>
      <c r="D21" s="11">
        <v>3.9518299743137857</v>
      </c>
      <c r="E21" s="11">
        <v>0.37461877750573169</v>
      </c>
      <c r="F21" s="12">
        <f t="shared" si="0"/>
        <v>9.4796279177163303</v>
      </c>
      <c r="G21" s="4">
        <v>1</v>
      </c>
      <c r="H21" s="11">
        <v>0.5229089426819733</v>
      </c>
    </row>
    <row r="22" spans="1:8" x14ac:dyDescent="0.3">
      <c r="A22" s="7" t="s">
        <v>31</v>
      </c>
      <c r="B22" s="11">
        <v>0.11273913043478261</v>
      </c>
      <c r="C22" s="11">
        <v>0.33133913043478258</v>
      </c>
      <c r="D22" s="11">
        <v>5.9323155084962949</v>
      </c>
      <c r="E22" s="11">
        <v>0.77507228026737618</v>
      </c>
      <c r="F22" s="12">
        <f t="shared" si="0"/>
        <v>13.065257219669341</v>
      </c>
      <c r="G22" s="4">
        <v>1</v>
      </c>
      <c r="H22" s="11">
        <v>0.67017972587346408</v>
      </c>
    </row>
    <row r="23" spans="1:8" x14ac:dyDescent="0.3">
      <c r="A23" s="7" t="s">
        <v>32</v>
      </c>
      <c r="B23" s="11">
        <v>0.12288695652173913</v>
      </c>
      <c r="C23" s="11">
        <v>0.35613043478260864</v>
      </c>
      <c r="D23" s="11">
        <v>6.5712880068692536</v>
      </c>
      <c r="E23" s="11">
        <v>0.97258272505407639</v>
      </c>
      <c r="F23" s="12">
        <f t="shared" si="0"/>
        <v>14.800488489279321</v>
      </c>
      <c r="G23" s="4">
        <v>1</v>
      </c>
      <c r="H23" s="11">
        <v>0.72613398064626966</v>
      </c>
    </row>
    <row r="24" spans="1:8" x14ac:dyDescent="0.3">
      <c r="A24" s="7" t="s">
        <v>33</v>
      </c>
      <c r="B24" s="11">
        <v>0.13975217391304345</v>
      </c>
      <c r="C24" s="11">
        <v>0.39545652173913037</v>
      </c>
      <c r="D24" s="11">
        <v>7.574860626021195</v>
      </c>
      <c r="E24" s="11">
        <v>1.2095820746879253</v>
      </c>
      <c r="F24" s="12">
        <f t="shared" si="0"/>
        <v>15.968373999288692</v>
      </c>
      <c r="G24" s="4">
        <v>1</v>
      </c>
      <c r="H24" s="11">
        <v>0.81485716037145961</v>
      </c>
    </row>
    <row r="25" spans="1:8" x14ac:dyDescent="0.3">
      <c r="A25" s="7" t="s">
        <v>34</v>
      </c>
      <c r="B25" s="11">
        <v>0.19232173913043479</v>
      </c>
      <c r="C25" s="11">
        <v>0.51323913043478253</v>
      </c>
      <c r="D25" s="11">
        <v>11.484579527729208</v>
      </c>
      <c r="E25" s="11">
        <v>2.7118371375557349</v>
      </c>
      <c r="F25" s="12">
        <f t="shared" si="0"/>
        <v>23.612855229118988</v>
      </c>
      <c r="G25" s="4">
        <v>1</v>
      </c>
      <c r="H25" s="11">
        <v>1.0620566067671122</v>
      </c>
    </row>
    <row r="26" spans="1:8" x14ac:dyDescent="0.3">
      <c r="A26" s="7" t="s">
        <v>35</v>
      </c>
      <c r="B26" s="11">
        <v>0.22946956521739129</v>
      </c>
      <c r="C26" s="11">
        <v>0.59700869565217385</v>
      </c>
      <c r="D26" s="11">
        <v>15.611794737273177</v>
      </c>
      <c r="E26" s="11">
        <v>4.3744004220154213</v>
      </c>
      <c r="F26" s="12">
        <f t="shared" si="0"/>
        <v>28.019843302010212</v>
      </c>
      <c r="G26" s="4">
        <v>1</v>
      </c>
      <c r="H26" s="11">
        <v>1.2246924470651313</v>
      </c>
    </row>
    <row r="27" spans="1:8" x14ac:dyDescent="0.3">
      <c r="A27" s="7" t="s">
        <v>36</v>
      </c>
      <c r="B27" s="4"/>
      <c r="C27" s="4"/>
      <c r="D27" s="4"/>
      <c r="E27" s="4"/>
      <c r="F27" s="4"/>
      <c r="G27" s="4"/>
      <c r="H27" s="4"/>
    </row>
    <row r="28" spans="1:8" x14ac:dyDescent="0.3">
      <c r="A28" s="7" t="s">
        <v>37</v>
      </c>
      <c r="B28" s="4"/>
      <c r="C28" s="4"/>
      <c r="D28" s="4"/>
      <c r="E28" s="4"/>
      <c r="F28" s="4"/>
      <c r="G28" s="4"/>
      <c r="H28" s="4"/>
    </row>
    <row r="29" spans="1:8" x14ac:dyDescent="0.3">
      <c r="A29" s="7" t="s">
        <v>38</v>
      </c>
      <c r="B29" s="4"/>
      <c r="C29" s="4"/>
      <c r="D29" s="4"/>
      <c r="E29" s="4"/>
      <c r="F29" s="4"/>
      <c r="G29" s="4"/>
      <c r="H29" s="4"/>
    </row>
    <row r="30" spans="1:8" x14ac:dyDescent="0.3">
      <c r="A30" s="7" t="s">
        <v>39</v>
      </c>
      <c r="B30" s="4"/>
      <c r="C30" s="4"/>
      <c r="D30" s="4"/>
      <c r="E30" s="4"/>
      <c r="F30" s="4"/>
      <c r="G30" s="4"/>
      <c r="H30" s="4"/>
    </row>
    <row r="31" spans="1:8" x14ac:dyDescent="0.3">
      <c r="A31" s="7" t="s">
        <v>40</v>
      </c>
      <c r="B31" s="4"/>
      <c r="C31" s="4"/>
      <c r="D31" s="4"/>
      <c r="E31" s="4"/>
      <c r="F31" s="4"/>
      <c r="G31" s="4"/>
      <c r="H31" s="4"/>
    </row>
    <row r="32" spans="1:8" x14ac:dyDescent="0.3">
      <c r="A32" s="7" t="s">
        <v>41</v>
      </c>
      <c r="B32" s="4"/>
      <c r="C32" s="4"/>
      <c r="D32" s="4"/>
      <c r="E32" s="4"/>
      <c r="F32" s="4"/>
      <c r="G32" s="4"/>
      <c r="H32" s="4"/>
    </row>
    <row r="33" spans="1:8" x14ac:dyDescent="0.3">
      <c r="A33" s="7" t="s">
        <v>42</v>
      </c>
      <c r="B33" s="11">
        <v>7.9404347826086963E-2</v>
      </c>
      <c r="C33" s="11">
        <v>0.35308260869565217</v>
      </c>
      <c r="D33" s="11">
        <v>32.465714705382375</v>
      </c>
      <c r="E33" s="11">
        <v>5.714314245610101</v>
      </c>
      <c r="F33" s="12">
        <f t="shared" ref="F33:F91" si="1">E33/D33*100</f>
        <v>17.601073309076867</v>
      </c>
      <c r="G33" s="4">
        <v>3</v>
      </c>
      <c r="H33" s="11">
        <v>1.258749911803035</v>
      </c>
    </row>
    <row r="34" spans="1:8" x14ac:dyDescent="0.3">
      <c r="A34" s="7" t="s">
        <v>43</v>
      </c>
      <c r="B34" s="11">
        <v>9.1778260869565212E-2</v>
      </c>
      <c r="C34" s="11">
        <v>0.34905652173913038</v>
      </c>
      <c r="D34" s="11">
        <v>29.778999249538558</v>
      </c>
      <c r="E34" s="11">
        <v>6.1075525997290434</v>
      </c>
      <c r="F34" s="12">
        <f t="shared" si="1"/>
        <v>20.509596539996835</v>
      </c>
      <c r="G34" s="4">
        <v>3</v>
      </c>
      <c r="H34" s="11">
        <v>1.2886676381679567</v>
      </c>
    </row>
    <row r="35" spans="1:8" x14ac:dyDescent="0.3">
      <c r="A35" s="7" t="s">
        <v>44</v>
      </c>
      <c r="B35" s="11">
        <v>8.7643478260869559E-2</v>
      </c>
      <c r="C35" s="11">
        <v>0.32250000000000001</v>
      </c>
      <c r="D35" s="11">
        <v>25.440928920147464</v>
      </c>
      <c r="E35" s="11">
        <v>5.7853075770565781</v>
      </c>
      <c r="F35" s="12">
        <f t="shared" si="1"/>
        <v>22.740158565810123</v>
      </c>
      <c r="G35" s="4">
        <v>3</v>
      </c>
      <c r="H35" s="11">
        <v>1.2451686937128936</v>
      </c>
    </row>
    <row r="36" spans="1:8" x14ac:dyDescent="0.3">
      <c r="A36" s="7" t="s">
        <v>45</v>
      </c>
      <c r="B36" s="11">
        <v>0.10701304347826086</v>
      </c>
      <c r="C36" s="11">
        <v>0.31439130434782608</v>
      </c>
      <c r="D36" s="11">
        <v>20.369666127831504</v>
      </c>
      <c r="E36" s="11">
        <v>6.4638436367863381</v>
      </c>
      <c r="F36" s="12">
        <f t="shared" si="1"/>
        <v>31.732693094830122</v>
      </c>
      <c r="G36" s="4">
        <v>3</v>
      </c>
      <c r="H36" s="11">
        <v>1.1689275633229408</v>
      </c>
    </row>
    <row r="37" spans="1:8" x14ac:dyDescent="0.3">
      <c r="A37" s="7" t="s">
        <v>46</v>
      </c>
      <c r="B37" s="11">
        <v>0.16370869565217391</v>
      </c>
      <c r="C37" s="11">
        <v>0.41106521739130436</v>
      </c>
      <c r="D37" s="11">
        <v>20.795452856581253</v>
      </c>
      <c r="E37" s="11">
        <v>8.5583634881706967</v>
      </c>
      <c r="F37" s="12">
        <f t="shared" si="1"/>
        <v>41.154975307316683</v>
      </c>
      <c r="G37" s="4">
        <v>1</v>
      </c>
      <c r="H37" s="11">
        <v>1.2637779243327143</v>
      </c>
    </row>
    <row r="38" spans="1:8" x14ac:dyDescent="0.3">
      <c r="A38" s="7" t="s">
        <v>47</v>
      </c>
      <c r="B38" s="11">
        <v>0.16544782608695649</v>
      </c>
      <c r="C38" s="11">
        <v>0.42120434782608696</v>
      </c>
      <c r="D38" s="11">
        <v>15.422767651925559</v>
      </c>
      <c r="E38" s="11">
        <v>6.7282997708925052</v>
      </c>
      <c r="F38" s="12">
        <f t="shared" si="1"/>
        <v>43.625761100359092</v>
      </c>
      <c r="G38" s="4">
        <v>1</v>
      </c>
      <c r="H38" s="11">
        <v>1.2117600557163812</v>
      </c>
    </row>
    <row r="39" spans="1:8" x14ac:dyDescent="0.3">
      <c r="A39" s="7" t="s">
        <v>48</v>
      </c>
      <c r="B39" s="11">
        <v>0.17532173913043478</v>
      </c>
      <c r="C39" s="11">
        <v>0.44908695652173913</v>
      </c>
      <c r="D39" s="11">
        <v>12.998243743508814</v>
      </c>
      <c r="E39" s="11">
        <v>5.4625725542268668</v>
      </c>
      <c r="F39" s="12">
        <f t="shared" si="1"/>
        <v>42.025466378523774</v>
      </c>
      <c r="G39" s="4">
        <v>1</v>
      </c>
      <c r="H39" s="11">
        <v>1.2079991081969896</v>
      </c>
    </row>
    <row r="40" spans="1:8" x14ac:dyDescent="0.3">
      <c r="A40" s="7" t="s">
        <v>49</v>
      </c>
      <c r="B40" s="11">
        <v>0.19121304347826085</v>
      </c>
      <c r="C40" s="11">
        <v>0.48826086956521736</v>
      </c>
      <c r="D40" s="11">
        <v>12.453497781708139</v>
      </c>
      <c r="E40" s="11">
        <v>4.8965086877606119</v>
      </c>
      <c r="F40" s="12">
        <f t="shared" si="1"/>
        <v>39.318340707079649</v>
      </c>
      <c r="G40" s="4">
        <v>1</v>
      </c>
      <c r="H40" s="11">
        <v>1.2004177166212753</v>
      </c>
    </row>
    <row r="41" spans="1:8" x14ac:dyDescent="0.3">
      <c r="A41" s="7" t="s">
        <v>50</v>
      </c>
      <c r="B41" s="11">
        <v>0.20875652173913042</v>
      </c>
      <c r="C41" s="11">
        <v>0.53858695652173916</v>
      </c>
      <c r="D41" s="11">
        <v>13.322531654310298</v>
      </c>
      <c r="E41" s="11">
        <v>4.5023837073321982</v>
      </c>
      <c r="F41" s="12">
        <f t="shared" si="1"/>
        <v>33.795256218254302</v>
      </c>
      <c r="G41" s="4">
        <v>1</v>
      </c>
      <c r="H41" s="11">
        <v>1.208405451024108</v>
      </c>
    </row>
    <row r="42" spans="1:8" x14ac:dyDescent="0.3">
      <c r="A42" s="7" t="s">
        <v>51</v>
      </c>
      <c r="B42" s="11">
        <v>0.22946956521739129</v>
      </c>
      <c r="C42" s="11">
        <v>0.59459130434782603</v>
      </c>
      <c r="D42" s="11">
        <v>15.61187778532963</v>
      </c>
      <c r="E42" s="11">
        <v>4.3909918680641855</v>
      </c>
      <c r="F42" s="12">
        <f t="shared" si="1"/>
        <v>28.125968755599462</v>
      </c>
      <c r="G42" s="4">
        <v>1</v>
      </c>
      <c r="H42" s="11">
        <v>1.2215943267909206</v>
      </c>
    </row>
    <row r="43" spans="1:8" x14ac:dyDescent="0.3">
      <c r="A43" s="7" t="s">
        <v>52</v>
      </c>
      <c r="B43" s="11">
        <v>0.2535217391304348</v>
      </c>
      <c r="C43" s="11">
        <v>0.6601217391304347</v>
      </c>
      <c r="D43" s="11">
        <v>19.391696168218335</v>
      </c>
      <c r="E43" s="11">
        <v>4.6167476382104393</v>
      </c>
      <c r="F43" s="12">
        <f t="shared" si="1"/>
        <v>23.807858777083013</v>
      </c>
      <c r="G43" s="4">
        <v>2</v>
      </c>
      <c r="H43" s="11">
        <v>1.2500576620791481</v>
      </c>
    </row>
    <row r="44" spans="1:8" x14ac:dyDescent="0.3">
      <c r="A44" s="7" t="s">
        <v>53</v>
      </c>
      <c r="B44" s="11">
        <v>0.27982608695652172</v>
      </c>
      <c r="C44" s="11">
        <v>0.72716956521739129</v>
      </c>
      <c r="D44" s="11">
        <v>24.586782553046007</v>
      </c>
      <c r="E44" s="11">
        <v>5.1178304394396861</v>
      </c>
      <c r="F44" s="12">
        <f t="shared" si="1"/>
        <v>20.815372765419639</v>
      </c>
      <c r="G44" s="4">
        <v>2</v>
      </c>
      <c r="H44" s="11">
        <v>1.2765836314068904</v>
      </c>
    </row>
    <row r="45" spans="1:8" x14ac:dyDescent="0.3">
      <c r="A45" s="7" t="s">
        <v>54</v>
      </c>
      <c r="B45" s="11">
        <v>0.33438695652173916</v>
      </c>
      <c r="C45" s="11">
        <v>0.8692478260869565</v>
      </c>
      <c r="D45" s="11">
        <v>39.149369091582436</v>
      </c>
      <c r="E45" s="11">
        <v>7.0302553427396219</v>
      </c>
      <c r="F45" s="12">
        <f t="shared" si="1"/>
        <v>17.957518871616269</v>
      </c>
      <c r="G45" s="4">
        <v>2</v>
      </c>
      <c r="H45" s="11">
        <v>1.3824661587966605</v>
      </c>
    </row>
    <row r="46" spans="1:8" x14ac:dyDescent="0.3">
      <c r="A46" s="7" t="s">
        <v>55</v>
      </c>
      <c r="B46" s="11">
        <v>0.36140869565217393</v>
      </c>
      <c r="C46" s="11">
        <v>0.93899130434782607</v>
      </c>
      <c r="D46" s="11">
        <v>48.390611725525183</v>
      </c>
      <c r="E46" s="11">
        <v>8.3777221286454164</v>
      </c>
      <c r="F46" s="12">
        <f t="shared" si="1"/>
        <v>17.312701430939583</v>
      </c>
      <c r="G46" s="4">
        <v>2</v>
      </c>
      <c r="H46" s="11">
        <v>1.4474571387810513</v>
      </c>
    </row>
    <row r="47" spans="1:8" x14ac:dyDescent="0.3">
      <c r="A47" s="7" t="s">
        <v>56</v>
      </c>
      <c r="B47" s="11">
        <v>0.38895652173913042</v>
      </c>
      <c r="C47" s="11">
        <v>1.0104347826086957</v>
      </c>
      <c r="D47" s="11">
        <v>58.898707154991378</v>
      </c>
      <c r="E47" s="11">
        <v>9.9852845487609656</v>
      </c>
      <c r="F47" s="12">
        <f t="shared" si="1"/>
        <v>16.953317026950671</v>
      </c>
      <c r="G47" s="4">
        <v>2</v>
      </c>
      <c r="H47" s="11">
        <v>1.507746076994996</v>
      </c>
    </row>
    <row r="48" spans="1:8" x14ac:dyDescent="0.3">
      <c r="A48" s="7" t="s">
        <v>57</v>
      </c>
      <c r="B48" s="11"/>
      <c r="C48" s="11"/>
      <c r="D48" s="11"/>
      <c r="E48" s="11"/>
      <c r="F48" s="12"/>
      <c r="G48" s="4"/>
      <c r="H48" s="4"/>
    </row>
    <row r="49" spans="1:8" x14ac:dyDescent="0.3">
      <c r="A49" s="7" t="s">
        <v>58</v>
      </c>
      <c r="B49" s="11"/>
      <c r="C49" s="11"/>
      <c r="D49" s="11"/>
      <c r="E49" s="11"/>
      <c r="F49" s="12"/>
      <c r="G49" s="4"/>
      <c r="H49" s="4"/>
    </row>
    <row r="50" spans="1:8" x14ac:dyDescent="0.3">
      <c r="A50" s="7" t="s">
        <v>59</v>
      </c>
      <c r="B50" s="11"/>
      <c r="C50" s="11"/>
      <c r="D50" s="11"/>
      <c r="E50" s="11"/>
      <c r="F50" s="12"/>
      <c r="G50" s="4"/>
      <c r="H50" s="4"/>
    </row>
    <row r="51" spans="1:8" x14ac:dyDescent="0.3">
      <c r="A51" s="7" t="s">
        <v>60</v>
      </c>
      <c r="B51" s="11"/>
      <c r="C51" s="11"/>
      <c r="D51" s="11"/>
      <c r="E51" s="11"/>
      <c r="F51" s="12"/>
      <c r="G51" s="4"/>
      <c r="H51" s="4"/>
    </row>
    <row r="52" spans="1:8" x14ac:dyDescent="0.3">
      <c r="A52" s="7" t="s">
        <v>61</v>
      </c>
      <c r="B52" s="11"/>
      <c r="C52" s="11"/>
      <c r="D52" s="11"/>
      <c r="E52" s="11"/>
      <c r="F52" s="12"/>
      <c r="G52" s="4"/>
      <c r="H52" s="4"/>
    </row>
    <row r="53" spans="1:8" x14ac:dyDescent="0.3">
      <c r="A53" s="7" t="s">
        <v>62</v>
      </c>
      <c r="B53" s="11"/>
      <c r="C53" s="11"/>
      <c r="D53" s="11"/>
      <c r="E53" s="11"/>
      <c r="F53" s="12"/>
      <c r="G53" s="4"/>
      <c r="H53" s="4"/>
    </row>
    <row r="54" spans="1:8" x14ac:dyDescent="0.3">
      <c r="A54" s="7" t="s">
        <v>63</v>
      </c>
      <c r="B54" s="11"/>
      <c r="C54" s="11"/>
      <c r="D54" s="11"/>
      <c r="E54" s="11"/>
      <c r="F54" s="12"/>
      <c r="G54" s="4"/>
      <c r="H54" s="4"/>
    </row>
    <row r="55" spans="1:8" x14ac:dyDescent="0.3">
      <c r="A55" s="7" t="s">
        <v>64</v>
      </c>
      <c r="B55" s="11"/>
      <c r="C55" s="11"/>
      <c r="D55" s="11"/>
      <c r="E55" s="11"/>
      <c r="F55" s="12"/>
      <c r="G55" s="4"/>
      <c r="H55" s="4"/>
    </row>
    <row r="56" spans="1:8" x14ac:dyDescent="0.3">
      <c r="A56" s="7" t="s">
        <v>65</v>
      </c>
      <c r="B56" s="11"/>
      <c r="C56" s="11"/>
      <c r="D56" s="11"/>
      <c r="E56" s="11"/>
      <c r="F56" s="12"/>
      <c r="G56" s="4"/>
      <c r="H56" s="4"/>
    </row>
    <row r="57" spans="1:8" x14ac:dyDescent="0.3">
      <c r="A57" s="7" t="s">
        <v>66</v>
      </c>
      <c r="B57" s="11"/>
      <c r="C57" s="11"/>
      <c r="D57" s="11"/>
      <c r="E57" s="11"/>
      <c r="F57" s="12"/>
      <c r="G57" s="4"/>
      <c r="H57" s="4"/>
    </row>
    <row r="58" spans="1:8" x14ac:dyDescent="0.3">
      <c r="A58" s="7" t="s">
        <v>67</v>
      </c>
      <c r="B58" s="11"/>
      <c r="C58" s="11"/>
      <c r="D58" s="11"/>
      <c r="E58" s="11"/>
      <c r="F58" s="12"/>
      <c r="G58" s="4"/>
      <c r="H58" s="4"/>
    </row>
    <row r="59" spans="1:8" x14ac:dyDescent="0.3">
      <c r="A59" s="7" t="s">
        <v>68</v>
      </c>
      <c r="B59" s="11"/>
      <c r="C59" s="11"/>
      <c r="D59" s="11"/>
      <c r="E59" s="11"/>
      <c r="F59" s="12"/>
      <c r="G59" s="4"/>
      <c r="H59" s="4"/>
    </row>
    <row r="60" spans="1:8" x14ac:dyDescent="0.3">
      <c r="A60" s="7" t="s">
        <v>69</v>
      </c>
      <c r="B60" s="11"/>
      <c r="C60" s="11"/>
      <c r="D60" s="11"/>
      <c r="E60" s="11"/>
      <c r="F60" s="12"/>
      <c r="G60" s="4"/>
      <c r="H60" s="4"/>
    </row>
    <row r="61" spans="1:8" x14ac:dyDescent="0.3">
      <c r="A61" s="7" t="s">
        <v>70</v>
      </c>
      <c r="B61" s="11"/>
      <c r="C61" s="11"/>
      <c r="D61" s="11"/>
      <c r="E61" s="11"/>
      <c r="F61" s="12"/>
      <c r="G61" s="4"/>
      <c r="H61" s="4"/>
    </row>
    <row r="62" spans="1:8" x14ac:dyDescent="0.3">
      <c r="A62" s="7" t="s">
        <v>71</v>
      </c>
      <c r="B62" s="11"/>
      <c r="C62" s="11"/>
      <c r="D62" s="11"/>
      <c r="E62" s="11"/>
      <c r="F62" s="12"/>
      <c r="G62" s="4"/>
      <c r="H62" s="4"/>
    </row>
    <row r="63" spans="1:8" x14ac:dyDescent="0.3">
      <c r="A63" s="7" t="s">
        <v>72</v>
      </c>
      <c r="B63" s="11"/>
      <c r="C63" s="11"/>
      <c r="D63" s="11"/>
      <c r="E63" s="11"/>
      <c r="F63" s="12"/>
      <c r="G63" s="4"/>
      <c r="H63" s="4"/>
    </row>
    <row r="64" spans="1:8" x14ac:dyDescent="0.3">
      <c r="A64" s="7" t="s">
        <v>73</v>
      </c>
      <c r="B64" s="11">
        <v>6.5343478260869559E-2</v>
      </c>
      <c r="C64" s="11">
        <v>0.24582608695652172</v>
      </c>
      <c r="D64" s="11">
        <v>9.085119413899335</v>
      </c>
      <c r="E64" s="11">
        <v>2.5317093330326399</v>
      </c>
      <c r="F64" s="12">
        <f t="shared" si="1"/>
        <v>27.866549878908302</v>
      </c>
      <c r="G64" s="4">
        <v>3</v>
      </c>
      <c r="H64" s="11">
        <v>0.96477986593767706</v>
      </c>
    </row>
    <row r="65" spans="1:8" x14ac:dyDescent="0.3">
      <c r="A65" s="7" t="s">
        <v>74</v>
      </c>
      <c r="B65" s="11">
        <v>6.0504347826086949E-2</v>
      </c>
      <c r="C65" s="11">
        <v>0.23469565217391303</v>
      </c>
      <c r="D65" s="11">
        <v>7.4094132301501503</v>
      </c>
      <c r="E65" s="11">
        <v>2.0254298676894562</v>
      </c>
      <c r="F65" s="12">
        <f t="shared" si="1"/>
        <v>27.335901032589749</v>
      </c>
      <c r="G65" s="4">
        <v>3</v>
      </c>
      <c r="H65" s="11">
        <v>0.92925419241340623</v>
      </c>
    </row>
    <row r="66" spans="1:8" x14ac:dyDescent="0.3">
      <c r="A66" s="7" t="s">
        <v>75</v>
      </c>
      <c r="B66" s="11">
        <v>5.6878260869565211E-2</v>
      </c>
      <c r="C66" s="11">
        <v>0.22458260869565216</v>
      </c>
      <c r="D66" s="11">
        <v>5.9535017112006452</v>
      </c>
      <c r="E66" s="11">
        <v>1.5962775238124411</v>
      </c>
      <c r="F66" s="12">
        <f t="shared" si="1"/>
        <v>26.812413958146308</v>
      </c>
      <c r="G66" s="4">
        <v>3</v>
      </c>
      <c r="H66" s="11">
        <v>0.84897973289145123</v>
      </c>
    </row>
    <row r="67" spans="1:8" x14ac:dyDescent="0.3">
      <c r="A67" s="7" t="s">
        <v>76</v>
      </c>
      <c r="B67" s="11">
        <v>5.3086956521739129E-2</v>
      </c>
      <c r="C67" s="11">
        <v>0.21251304347826086</v>
      </c>
      <c r="D67" s="11">
        <v>3.707526006609732</v>
      </c>
      <c r="E67" s="11">
        <v>0.97401683718971999</v>
      </c>
      <c r="F67" s="12">
        <f t="shared" si="1"/>
        <v>26.271342006859953</v>
      </c>
      <c r="G67" s="4">
        <v>3</v>
      </c>
      <c r="H67" s="11">
        <v>0.74136268307679187</v>
      </c>
    </row>
    <row r="68" spans="1:8" x14ac:dyDescent="0.3">
      <c r="A68" s="7" t="s">
        <v>77</v>
      </c>
      <c r="B68" s="11">
        <v>5.3204347826086955E-2</v>
      </c>
      <c r="C68" s="11">
        <v>0.21003043478260869</v>
      </c>
      <c r="D68" s="11">
        <v>2.9153932693754236</v>
      </c>
      <c r="E68" s="11">
        <v>0.76772820556848131</v>
      </c>
      <c r="F68" s="12">
        <f t="shared" si="1"/>
        <v>26.333606983079672</v>
      </c>
      <c r="G68" s="4">
        <v>3</v>
      </c>
      <c r="H68" s="11">
        <v>0.6941087626524397</v>
      </c>
    </row>
    <row r="69" spans="1:8" x14ac:dyDescent="0.3">
      <c r="A69" s="7" t="s">
        <v>78</v>
      </c>
      <c r="B69" s="11">
        <v>5.4856521739130429E-2</v>
      </c>
      <c r="C69" s="11">
        <v>0.21117826086956523</v>
      </c>
      <c r="D69" s="11">
        <v>2.3512418658447318</v>
      </c>
      <c r="E69" s="11">
        <v>0.6158725182147271</v>
      </c>
      <c r="F69" s="12">
        <f t="shared" si="1"/>
        <v>26.193499152987492</v>
      </c>
      <c r="G69" s="4">
        <v>3</v>
      </c>
      <c r="H69" s="11">
        <v>0.64932777568381506</v>
      </c>
    </row>
    <row r="70" spans="1:8" x14ac:dyDescent="0.3">
      <c r="A70" s="7" t="s">
        <v>79</v>
      </c>
      <c r="B70" s="11">
        <v>5.8065217391304345E-2</v>
      </c>
      <c r="C70" s="11">
        <v>0.21641304347826085</v>
      </c>
      <c r="D70" s="11">
        <v>2.0098183569788004</v>
      </c>
      <c r="E70" s="11">
        <v>0.5031565153056079</v>
      </c>
      <c r="F70" s="12">
        <f t="shared" si="1"/>
        <v>25.034924850719491</v>
      </c>
      <c r="G70" s="4">
        <v>3</v>
      </c>
      <c r="H70" s="11">
        <v>0.63280367613690214</v>
      </c>
    </row>
    <row r="71" spans="1:8" x14ac:dyDescent="0.3">
      <c r="A71" s="7" t="s">
        <v>80</v>
      </c>
      <c r="B71" s="11">
        <v>3.9195652173913041E-2</v>
      </c>
      <c r="C71" s="11">
        <v>0.18692608695652174</v>
      </c>
      <c r="D71" s="11">
        <v>4.5018933204996205</v>
      </c>
      <c r="E71" s="11">
        <v>1.0202214674502228</v>
      </c>
      <c r="F71" s="12">
        <f t="shared" si="1"/>
        <v>22.662053381064982</v>
      </c>
      <c r="G71" s="4">
        <v>3</v>
      </c>
      <c r="H71" s="11">
        <v>0.73384305178182896</v>
      </c>
    </row>
    <row r="72" spans="1:8" x14ac:dyDescent="0.3">
      <c r="A72" s="7" t="s">
        <v>81</v>
      </c>
      <c r="B72" s="11">
        <v>3.6743478260869565E-2</v>
      </c>
      <c r="C72" s="11">
        <v>0.17815652173913041</v>
      </c>
      <c r="D72" s="11">
        <v>3.6693820242826698</v>
      </c>
      <c r="E72" s="11">
        <v>0.81306436639085256</v>
      </c>
      <c r="F72" s="12">
        <f t="shared" si="1"/>
        <v>22.158073512386576</v>
      </c>
      <c r="G72" s="4">
        <v>3</v>
      </c>
      <c r="H72" s="11">
        <v>0.69205849358362614</v>
      </c>
    </row>
    <row r="73" spans="1:8" x14ac:dyDescent="0.3">
      <c r="A73" s="7" t="s">
        <v>82</v>
      </c>
      <c r="B73" s="11">
        <v>3.5004347826086961E-2</v>
      </c>
      <c r="C73" s="11">
        <v>0.17225652173913045</v>
      </c>
      <c r="D73" s="11">
        <v>2.9483296515377173</v>
      </c>
      <c r="E73" s="11">
        <v>0.64218829241252218</v>
      </c>
      <c r="F73" s="12">
        <f t="shared" si="1"/>
        <v>21.781427734092944</v>
      </c>
      <c r="G73" s="4">
        <v>3</v>
      </c>
      <c r="H73" s="11">
        <v>0.66166445717770417</v>
      </c>
    </row>
    <row r="74" spans="1:8" x14ac:dyDescent="0.3">
      <c r="A74" s="7" t="s">
        <v>83</v>
      </c>
      <c r="B74" s="11">
        <v>3.3639130434782609E-2</v>
      </c>
      <c r="C74" s="11">
        <v>0.16163043478260869</v>
      </c>
      <c r="D74" s="11">
        <v>1.8354068030748607</v>
      </c>
      <c r="E74" s="11">
        <v>0.39699155654482854</v>
      </c>
      <c r="F74" s="12">
        <f t="shared" si="1"/>
        <v>21.629622156774605</v>
      </c>
      <c r="G74" s="4">
        <v>3</v>
      </c>
      <c r="H74" s="11">
        <v>0.58168298547864783</v>
      </c>
    </row>
    <row r="75" spans="1:8" x14ac:dyDescent="0.3">
      <c r="A75" s="7" t="s">
        <v>84</v>
      </c>
      <c r="B75" s="11">
        <v>3.4278260869565216E-2</v>
      </c>
      <c r="C75" s="11">
        <v>0.15859999999999999</v>
      </c>
      <c r="D75" s="11">
        <v>1.4462546415350575</v>
      </c>
      <c r="E75" s="11">
        <v>0.31263137748632852</v>
      </c>
      <c r="F75" s="12">
        <f t="shared" si="1"/>
        <v>21.616620511205483</v>
      </c>
      <c r="G75" s="4">
        <v>3</v>
      </c>
      <c r="H75" s="11">
        <v>0.53907482155506914</v>
      </c>
    </row>
    <row r="76" spans="1:8" x14ac:dyDescent="0.3">
      <c r="A76" s="7" t="s">
        <v>85</v>
      </c>
      <c r="B76" s="11">
        <v>3.5999999999999997E-2</v>
      </c>
      <c r="C76" s="11">
        <v>0.15848260869565214</v>
      </c>
      <c r="D76" s="11">
        <v>1.1687305635461831</v>
      </c>
      <c r="E76" s="11">
        <v>0.24667022767408642</v>
      </c>
      <c r="F76" s="12">
        <f t="shared" si="1"/>
        <v>21.105825018012297</v>
      </c>
      <c r="G76" s="4">
        <v>3</v>
      </c>
      <c r="H76" s="11">
        <v>0.50788995514644364</v>
      </c>
    </row>
    <row r="77" spans="1:8" x14ac:dyDescent="0.3">
      <c r="A77" s="7" t="s">
        <v>86</v>
      </c>
      <c r="B77" s="11">
        <v>3.8539130434782611E-2</v>
      </c>
      <c r="C77" s="11">
        <v>0.16184347826086956</v>
      </c>
      <c r="D77" s="11">
        <v>0.99881707951079224</v>
      </c>
      <c r="E77" s="11">
        <v>0.20232039304505856</v>
      </c>
      <c r="F77" s="12">
        <f t="shared" si="1"/>
        <v>20.256000542577073</v>
      </c>
      <c r="G77" s="4">
        <v>3</v>
      </c>
      <c r="H77" s="11">
        <v>0.47971598743420413</v>
      </c>
    </row>
    <row r="78" spans="1:8" x14ac:dyDescent="0.3">
      <c r="A78" s="7" t="s">
        <v>87</v>
      </c>
      <c r="B78" s="11">
        <v>3.1360869565217386E-2</v>
      </c>
      <c r="C78" s="11">
        <v>0.16594347826086955</v>
      </c>
      <c r="D78" s="11">
        <v>3.318481832236404</v>
      </c>
      <c r="E78" s="11">
        <v>0.68822569418037771</v>
      </c>
      <c r="F78" s="12">
        <f t="shared" si="1"/>
        <v>20.739173181387166</v>
      </c>
      <c r="G78" s="4">
        <v>3</v>
      </c>
      <c r="H78" s="11">
        <v>0.65609223784367388</v>
      </c>
    </row>
    <row r="79" spans="1:8" x14ac:dyDescent="0.3">
      <c r="A79" s="7" t="s">
        <v>88</v>
      </c>
      <c r="B79" s="11">
        <v>2.959565217391304E-2</v>
      </c>
      <c r="C79" s="11">
        <v>0.15967826086956521</v>
      </c>
      <c r="D79" s="11">
        <v>2.7060905984927288</v>
      </c>
      <c r="E79" s="11">
        <v>0.54717482355642177</v>
      </c>
      <c r="F79" s="12">
        <f t="shared" si="1"/>
        <v>20.220122114950396</v>
      </c>
      <c r="G79" s="4">
        <v>3</v>
      </c>
      <c r="H79" s="11">
        <v>0.64625080939809887</v>
      </c>
    </row>
    <row r="80" spans="1:8" x14ac:dyDescent="0.3">
      <c r="A80" s="7" t="s">
        <v>89</v>
      </c>
      <c r="B80" s="11">
        <v>2.842608695652174E-2</v>
      </c>
      <c r="C80" s="11">
        <v>0.15195652173913043</v>
      </c>
      <c r="D80" s="11">
        <v>2.1731922505070114</v>
      </c>
      <c r="E80" s="11">
        <v>0.44197461284008144</v>
      </c>
      <c r="F80" s="12">
        <f t="shared" si="1"/>
        <v>20.337575414092683</v>
      </c>
      <c r="G80" s="4">
        <v>3</v>
      </c>
      <c r="H80" s="11">
        <v>0.58078868101745784</v>
      </c>
    </row>
    <row r="81" spans="1:8" x14ac:dyDescent="0.3">
      <c r="A81" s="7" t="s">
        <v>90</v>
      </c>
      <c r="B81" s="11">
        <v>2.7743478260869564E-2</v>
      </c>
      <c r="C81" s="11">
        <v>0.14225652173913042</v>
      </c>
      <c r="D81" s="11">
        <v>1.3544262264482458</v>
      </c>
      <c r="E81" s="11">
        <v>0.26951838967380426</v>
      </c>
      <c r="F81" s="12">
        <f t="shared" si="1"/>
        <v>19.899082313295921</v>
      </c>
      <c r="G81" s="4">
        <v>3</v>
      </c>
      <c r="H81" s="11">
        <v>0.51401883283019234</v>
      </c>
    </row>
    <row r="82" spans="1:8" x14ac:dyDescent="0.3">
      <c r="A82" s="7" t="s">
        <v>91</v>
      </c>
      <c r="B82" s="11">
        <v>2.8556521739130435E-2</v>
      </c>
      <c r="C82" s="11">
        <v>0.13947391304347828</v>
      </c>
      <c r="D82" s="11">
        <v>1.0666102390141678</v>
      </c>
      <c r="E82" s="11">
        <v>0.21158251059804123</v>
      </c>
      <c r="F82" s="12">
        <f t="shared" si="1"/>
        <v>19.836909759426259</v>
      </c>
      <c r="G82" s="4">
        <v>3</v>
      </c>
      <c r="H82" s="11">
        <v>0.47261205860695027</v>
      </c>
    </row>
    <row r="83" spans="1:8" x14ac:dyDescent="0.3">
      <c r="A83" s="7" t="s">
        <v>92</v>
      </c>
      <c r="B83" s="11">
        <v>3.0082608695652172E-2</v>
      </c>
      <c r="C83" s="11">
        <v>0.13951739130434782</v>
      </c>
      <c r="D83" s="11">
        <v>0.85888517027516464</v>
      </c>
      <c r="E83" s="11">
        <v>0.16564704096050231</v>
      </c>
      <c r="F83" s="12">
        <f t="shared" si="1"/>
        <v>19.28628490668121</v>
      </c>
      <c r="G83" s="4">
        <v>3</v>
      </c>
      <c r="H83" s="11">
        <v>0.45415044357121609</v>
      </c>
    </row>
    <row r="84" spans="1:8" x14ac:dyDescent="0.3">
      <c r="A84" s="7" t="s">
        <v>93</v>
      </c>
      <c r="B84" s="11">
        <v>3.1791304347826087E-2</v>
      </c>
      <c r="C84" s="11">
        <v>0.14201304347826085</v>
      </c>
      <c r="D84" s="11">
        <v>0.73608151588886062</v>
      </c>
      <c r="E84" s="11">
        <v>0.13619118218302051</v>
      </c>
      <c r="F84" s="12">
        <f t="shared" si="1"/>
        <v>18.502187494623044</v>
      </c>
      <c r="G84" s="4">
        <v>3</v>
      </c>
      <c r="H84" s="11">
        <v>0.41327869254393956</v>
      </c>
    </row>
    <row r="85" spans="1:8" x14ac:dyDescent="0.3">
      <c r="A85" s="7" t="s">
        <v>94</v>
      </c>
      <c r="B85" s="11">
        <v>2.4143478260869562E-2</v>
      </c>
      <c r="C85" s="11">
        <v>0.14320869565217392</v>
      </c>
      <c r="D85" s="11">
        <v>2.3131008062427152</v>
      </c>
      <c r="E85" s="11">
        <v>0.43863382366752557</v>
      </c>
      <c r="F85" s="12">
        <f t="shared" si="1"/>
        <v>18.96302238465864</v>
      </c>
      <c r="G85" s="4">
        <v>3</v>
      </c>
      <c r="H85" s="11">
        <v>0.58224199032971058</v>
      </c>
    </row>
    <row r="86" spans="1:8" x14ac:dyDescent="0.3">
      <c r="A86" s="7" t="s">
        <v>95</v>
      </c>
      <c r="B86" s="11">
        <v>2.2886956521739128E-2</v>
      </c>
      <c r="C86" s="11">
        <v>0.1376391304347826</v>
      </c>
      <c r="D86" s="11">
        <v>1.8837963294431075</v>
      </c>
      <c r="E86" s="11">
        <v>0.34823334196970768</v>
      </c>
      <c r="F86" s="12">
        <f t="shared" si="1"/>
        <v>18.48572144063224</v>
      </c>
      <c r="G86" s="4">
        <v>3</v>
      </c>
      <c r="H86" s="11">
        <v>0.55473598004058833</v>
      </c>
    </row>
    <row r="87" spans="1:8" x14ac:dyDescent="0.3">
      <c r="A87" s="7" t="s">
        <v>96</v>
      </c>
      <c r="B87" s="11">
        <v>2.2234782608695651E-2</v>
      </c>
      <c r="C87" s="11">
        <v>0.13173478260869564</v>
      </c>
      <c r="D87" s="11">
        <v>1.5161444510586066</v>
      </c>
      <c r="E87" s="11">
        <v>0.27578919280908876</v>
      </c>
      <c r="F87" s="12">
        <f t="shared" si="1"/>
        <v>18.19016602385917</v>
      </c>
      <c r="G87" s="4">
        <v>3</v>
      </c>
      <c r="H87" s="11">
        <v>0.52595987097113783</v>
      </c>
    </row>
    <row r="88" spans="1:8" x14ac:dyDescent="0.3">
      <c r="A88" s="7" t="s">
        <v>97</v>
      </c>
      <c r="B88" s="11">
        <v>2.224782608695652E-2</v>
      </c>
      <c r="C88" s="11">
        <v>0.1216391304347826</v>
      </c>
      <c r="D88" s="11">
        <v>0.9444883344905789</v>
      </c>
      <c r="E88" s="11">
        <v>0.17146157462336198</v>
      </c>
      <c r="F88" s="12">
        <f t="shared" si="1"/>
        <v>18.153911314938775</v>
      </c>
      <c r="G88" s="4">
        <v>3</v>
      </c>
      <c r="H88" s="11">
        <v>0.44953661991665089</v>
      </c>
    </row>
    <row r="89" spans="1:8" x14ac:dyDescent="0.3">
      <c r="A89" s="7" t="s">
        <v>98</v>
      </c>
      <c r="B89" s="11">
        <v>2.2860869565217389E-2</v>
      </c>
      <c r="C89" s="11">
        <v>0.11989565217391304</v>
      </c>
      <c r="D89" s="11">
        <v>0.74199654104705115</v>
      </c>
      <c r="E89" s="11">
        <v>0.13324458768379299</v>
      </c>
      <c r="F89" s="12">
        <f t="shared" si="1"/>
        <v>17.957575313729627</v>
      </c>
      <c r="G89" s="4">
        <v>3</v>
      </c>
      <c r="H89" s="11">
        <v>0.41326967861485919</v>
      </c>
    </row>
    <row r="90" spans="1:8" x14ac:dyDescent="0.3">
      <c r="A90" s="7" t="s">
        <v>99</v>
      </c>
      <c r="B90" s="11">
        <v>2.3630434782608692E-2</v>
      </c>
      <c r="C90" s="11">
        <v>0.11991304347826087</v>
      </c>
      <c r="D90" s="11">
        <v>0.59823095085850431</v>
      </c>
      <c r="E90" s="11">
        <v>0.10299236221640462</v>
      </c>
      <c r="F90" s="12">
        <f t="shared" si="1"/>
        <v>17.216154073707351</v>
      </c>
      <c r="G90" s="4">
        <v>3</v>
      </c>
      <c r="H90" s="11">
        <v>0.38694503389430668</v>
      </c>
    </row>
    <row r="91" spans="1:8" x14ac:dyDescent="0.3">
      <c r="A91" s="7" t="s">
        <v>100</v>
      </c>
      <c r="B91" s="11">
        <v>2.6226086956521739E-2</v>
      </c>
      <c r="C91" s="11">
        <v>0.12077391304347826</v>
      </c>
      <c r="D91" s="11">
        <v>0.51265091946429875</v>
      </c>
      <c r="E91" s="11">
        <v>8.5556092110394832E-2</v>
      </c>
      <c r="F91" s="12">
        <f t="shared" si="1"/>
        <v>16.688957117212976</v>
      </c>
      <c r="G91" s="4">
        <v>3</v>
      </c>
      <c r="H91" s="11">
        <v>0.36139068841566374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7478-4A7F-4398-AA2E-87C210AC2C2E}">
  <dimension ref="A1:H107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0.69921875" customWidth="1"/>
    <col min="2" max="7" width="16.69921875" customWidth="1"/>
    <col min="8" max="8" width="22.69921875" customWidth="1"/>
  </cols>
  <sheetData>
    <row r="1" spans="1:8" s="3" customFormat="1" x14ac:dyDescent="0.3">
      <c r="A1" s="18" t="s">
        <v>137</v>
      </c>
      <c r="B1" s="18"/>
      <c r="C1" s="18"/>
      <c r="D1" s="18"/>
      <c r="E1" s="18"/>
      <c r="F1" s="18"/>
      <c r="G1" s="18"/>
      <c r="H1" s="18"/>
    </row>
    <row r="2" spans="1:8" s="2" customFormat="1" ht="72" customHeight="1" x14ac:dyDescent="0.3">
      <c r="A2" s="13"/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6</v>
      </c>
      <c r="H2" s="13" t="s">
        <v>11</v>
      </c>
    </row>
    <row r="3" spans="1:8" s="1" customForma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6" t="s">
        <v>3</v>
      </c>
      <c r="H3" s="5" t="s">
        <v>12</v>
      </c>
    </row>
    <row r="4" spans="1:8" x14ac:dyDescent="0.3">
      <c r="A4" s="7" t="s">
        <v>13</v>
      </c>
      <c r="B4" s="8">
        <v>7.2052173913043471E-2</v>
      </c>
      <c r="C4" s="8">
        <v>0.18956521739130433</v>
      </c>
      <c r="D4" s="8">
        <v>2.3240087189457292</v>
      </c>
      <c r="E4" s="8">
        <v>0.88999069489288551</v>
      </c>
      <c r="F4" s="9">
        <f>E4/D4*100</f>
        <v>38.295497243083652</v>
      </c>
      <c r="G4" s="7">
        <v>1</v>
      </c>
      <c r="H4" s="8">
        <v>0.64331600651607401</v>
      </c>
    </row>
    <row r="5" spans="1:8" x14ac:dyDescent="0.3">
      <c r="A5" s="7" t="s">
        <v>14</v>
      </c>
      <c r="B5" s="8">
        <v>0.11190869565217391</v>
      </c>
      <c r="C5" s="8">
        <v>0.25302173913043474</v>
      </c>
      <c r="D5" s="8">
        <v>5.0817418520399782</v>
      </c>
      <c r="E5" s="8">
        <v>2.2527028363325292</v>
      </c>
      <c r="F5" s="9">
        <f t="shared" ref="F5:F12" si="0">E5/D5*100</f>
        <v>44.329344187922892</v>
      </c>
      <c r="G5" s="7">
        <v>1</v>
      </c>
      <c r="H5" s="8">
        <v>0.79194095610758386</v>
      </c>
    </row>
    <row r="6" spans="1:8" x14ac:dyDescent="0.3">
      <c r="A6" s="7" t="s">
        <v>15</v>
      </c>
      <c r="B6" s="8">
        <v>0.13611739130434783</v>
      </c>
      <c r="C6" s="8">
        <v>0.28721304347826088</v>
      </c>
      <c r="D6" s="8">
        <v>7.2099199423440821</v>
      </c>
      <c r="E6" s="8">
        <v>3.3058382314281261</v>
      </c>
      <c r="F6" s="9">
        <f t="shared" si="0"/>
        <v>45.851247418335902</v>
      </c>
      <c r="G6" s="7">
        <v>1</v>
      </c>
      <c r="H6" s="8">
        <v>0.84718517719255459</v>
      </c>
    </row>
    <row r="7" spans="1:8" x14ac:dyDescent="0.3">
      <c r="A7" s="7" t="s">
        <v>16</v>
      </c>
      <c r="B7" s="8">
        <v>0.15191304347826085</v>
      </c>
      <c r="C7" s="8">
        <v>0.30956521739130433</v>
      </c>
      <c r="D7" s="8">
        <v>8.7788568343975211</v>
      </c>
      <c r="E7" s="8">
        <v>4.1770052961292867</v>
      </c>
      <c r="F7" s="9">
        <f t="shared" si="0"/>
        <v>47.580287216472733</v>
      </c>
      <c r="G7" s="7">
        <v>1</v>
      </c>
      <c r="H7" s="8">
        <v>0.88376985602094249</v>
      </c>
    </row>
    <row r="8" spans="1:8" x14ac:dyDescent="0.3">
      <c r="A8" s="7" t="s">
        <v>17</v>
      </c>
      <c r="B8" s="8">
        <v>0.16789130434782606</v>
      </c>
      <c r="C8" s="8">
        <v>0.3299478260869565</v>
      </c>
      <c r="D8" s="8">
        <v>10.517853440188373</v>
      </c>
      <c r="E8" s="8">
        <v>4.9937074363874654</v>
      </c>
      <c r="F8" s="9">
        <f t="shared" si="0"/>
        <v>47.478389623748448</v>
      </c>
      <c r="G8" s="7">
        <v>1</v>
      </c>
      <c r="H8" s="8">
        <v>0.94890793465822698</v>
      </c>
    </row>
    <row r="9" spans="1:8" x14ac:dyDescent="0.3">
      <c r="A9" s="7" t="s">
        <v>18</v>
      </c>
      <c r="B9" s="8">
        <v>0.20611304347826084</v>
      </c>
      <c r="C9" s="8">
        <v>0.38446086956521741</v>
      </c>
      <c r="D9" s="8">
        <v>15.365689623481046</v>
      </c>
      <c r="E9" s="8">
        <v>7.3211724519158441</v>
      </c>
      <c r="F9" s="9">
        <f t="shared" si="0"/>
        <v>47.646234118434947</v>
      </c>
      <c r="G9" s="7">
        <v>1</v>
      </c>
      <c r="H9" s="8">
        <v>1.0266403531654371</v>
      </c>
    </row>
    <row r="10" spans="1:8" x14ac:dyDescent="0.3">
      <c r="A10" s="7" t="s">
        <v>19</v>
      </c>
      <c r="B10" s="8">
        <v>0.22721739130434782</v>
      </c>
      <c r="C10" s="8">
        <v>0.4151478260869565</v>
      </c>
      <c r="D10" s="8">
        <v>18.403066459489889</v>
      </c>
      <c r="E10" s="8">
        <v>8.8730802430019455</v>
      </c>
      <c r="F10" s="9">
        <f t="shared" si="0"/>
        <v>48.215226861968837</v>
      </c>
      <c r="G10" s="7">
        <v>1</v>
      </c>
      <c r="H10" s="8">
        <v>1.0328067274305051</v>
      </c>
    </row>
    <row r="11" spans="1:8" x14ac:dyDescent="0.3">
      <c r="A11" s="7" t="s">
        <v>20</v>
      </c>
      <c r="B11" s="8">
        <v>0.26040869565217389</v>
      </c>
      <c r="C11" s="8">
        <v>0.46010000000000001</v>
      </c>
      <c r="D11" s="8">
        <v>23.929268688198633</v>
      </c>
      <c r="E11" s="8">
        <v>11.513320484445115</v>
      </c>
      <c r="F11" s="9">
        <f t="shared" si="0"/>
        <v>48.113967185813841</v>
      </c>
      <c r="G11" s="7">
        <v>1</v>
      </c>
      <c r="H11" s="8">
        <v>1.1562908360135131</v>
      </c>
    </row>
    <row r="12" spans="1:8" x14ac:dyDescent="0.3">
      <c r="A12" s="7" t="s">
        <v>21</v>
      </c>
      <c r="B12" s="8">
        <v>0.30005217391304351</v>
      </c>
      <c r="C12" s="8">
        <v>0.51451304347826088</v>
      </c>
      <c r="D12" s="8">
        <v>32.504506195457395</v>
      </c>
      <c r="E12" s="8">
        <v>15.396901094596064</v>
      </c>
      <c r="F12" s="9">
        <f t="shared" si="0"/>
        <v>47.368512544109429</v>
      </c>
      <c r="G12" s="7">
        <v>1</v>
      </c>
      <c r="H12" s="8">
        <v>1.2198626531500047</v>
      </c>
    </row>
    <row r="13" spans="1:8" x14ac:dyDescent="0.3">
      <c r="A13" s="7" t="s">
        <v>22</v>
      </c>
      <c r="B13" s="8"/>
      <c r="C13" s="8"/>
      <c r="D13" s="8"/>
      <c r="E13" s="8"/>
      <c r="F13" s="9"/>
      <c r="G13" s="7"/>
      <c r="H13" s="7"/>
    </row>
    <row r="14" spans="1:8" x14ac:dyDescent="0.3">
      <c r="A14" s="7" t="s">
        <v>23</v>
      </c>
      <c r="B14" s="8"/>
      <c r="C14" s="8"/>
      <c r="D14" s="8"/>
      <c r="E14" s="8"/>
      <c r="F14" s="9"/>
      <c r="G14" s="7"/>
      <c r="H14" s="7"/>
    </row>
    <row r="15" spans="1:8" x14ac:dyDescent="0.3">
      <c r="A15" s="7" t="s">
        <v>24</v>
      </c>
      <c r="B15" s="8"/>
      <c r="C15" s="8"/>
      <c r="D15" s="8"/>
      <c r="E15" s="8"/>
      <c r="F15" s="9"/>
      <c r="G15" s="7"/>
      <c r="H15" s="7"/>
    </row>
    <row r="16" spans="1:8" x14ac:dyDescent="0.3">
      <c r="A16" s="7" t="s">
        <v>25</v>
      </c>
      <c r="B16" s="8"/>
      <c r="C16" s="8"/>
      <c r="D16" s="8"/>
      <c r="E16" s="8"/>
      <c r="F16" s="9"/>
      <c r="G16" s="7"/>
      <c r="H16" s="7"/>
    </row>
    <row r="17" spans="1:8" x14ac:dyDescent="0.3">
      <c r="A17" s="7" t="s">
        <v>26</v>
      </c>
      <c r="B17" s="8">
        <v>1.3465217391304346E-2</v>
      </c>
      <c r="C17" s="8">
        <v>5.1091304347826084E-2</v>
      </c>
      <c r="D17" s="8">
        <v>0.18244647578210754</v>
      </c>
      <c r="E17" s="8">
        <v>1.5350967460149634E-2</v>
      </c>
      <c r="F17" s="9">
        <f t="shared" ref="F17:F28" si="1">E17/D17*100</f>
        <v>8.4139566929662202</v>
      </c>
      <c r="G17" s="7">
        <v>1</v>
      </c>
      <c r="H17" s="8">
        <v>0.14803723197505314</v>
      </c>
    </row>
    <row r="18" spans="1:8" x14ac:dyDescent="0.3">
      <c r="A18" s="7" t="s">
        <v>27</v>
      </c>
      <c r="B18" s="8">
        <v>3.0343478260869562E-2</v>
      </c>
      <c r="C18" s="8">
        <v>0.10546956521739129</v>
      </c>
      <c r="D18" s="8">
        <v>0.94690967662829417</v>
      </c>
      <c r="E18" s="8">
        <v>0.14877727270594476</v>
      </c>
      <c r="F18" s="9">
        <f t="shared" si="1"/>
        <v>15.711875839700253</v>
      </c>
      <c r="G18" s="7">
        <v>1</v>
      </c>
      <c r="H18" s="8">
        <v>0.29681684592197966</v>
      </c>
    </row>
    <row r="19" spans="1:8" x14ac:dyDescent="0.3">
      <c r="A19" s="7" t="s">
        <v>28</v>
      </c>
      <c r="B19" s="8">
        <v>4.272608695652174E-2</v>
      </c>
      <c r="C19" s="8">
        <v>0.13754347826086957</v>
      </c>
      <c r="D19" s="8">
        <v>1.8758591209832167</v>
      </c>
      <c r="E19" s="8">
        <v>0.42713370136612228</v>
      </c>
      <c r="F19" s="9">
        <f t="shared" si="1"/>
        <v>22.770030893484343</v>
      </c>
      <c r="G19" s="7">
        <v>1</v>
      </c>
      <c r="H19" s="8">
        <v>0.40158201035879759</v>
      </c>
    </row>
    <row r="20" spans="1:8" x14ac:dyDescent="0.3">
      <c r="A20" s="7" t="s">
        <v>29</v>
      </c>
      <c r="B20" s="8">
        <v>5.5539130434782612E-2</v>
      </c>
      <c r="C20" s="8">
        <v>0.16777391304347825</v>
      </c>
      <c r="D20" s="8">
        <v>2.8582373979312408</v>
      </c>
      <c r="E20" s="8">
        <v>0.77099184684660216</v>
      </c>
      <c r="F20" s="9">
        <f t="shared" si="1"/>
        <v>26.974381043528332</v>
      </c>
      <c r="G20" s="7">
        <v>1</v>
      </c>
      <c r="H20" s="8">
        <v>0.48166069189616595</v>
      </c>
    </row>
    <row r="21" spans="1:8" x14ac:dyDescent="0.3">
      <c r="A21" s="7" t="s">
        <v>30</v>
      </c>
      <c r="B21" s="8">
        <v>6.8360869565217391E-2</v>
      </c>
      <c r="C21" s="8">
        <v>0.19528695652173911</v>
      </c>
      <c r="D21" s="8">
        <v>3.8647143681986993</v>
      </c>
      <c r="E21" s="8">
        <v>1.1707333126492312</v>
      </c>
      <c r="F21" s="9">
        <f t="shared" si="1"/>
        <v>30.292880692109129</v>
      </c>
      <c r="G21" s="7">
        <v>1</v>
      </c>
      <c r="H21" s="8">
        <v>0.56431344014589058</v>
      </c>
    </row>
    <row r="22" spans="1:8" x14ac:dyDescent="0.3">
      <c r="A22" s="7" t="s">
        <v>31</v>
      </c>
      <c r="B22" s="8">
        <v>9.1286956521739127E-2</v>
      </c>
      <c r="C22" s="8">
        <v>0.23884347826086955</v>
      </c>
      <c r="D22" s="8">
        <v>5.8202905925898287</v>
      </c>
      <c r="E22" s="8">
        <v>2.0414765096323153</v>
      </c>
      <c r="F22" s="9">
        <f t="shared" si="1"/>
        <v>35.07516467015315</v>
      </c>
      <c r="G22" s="7">
        <v>1</v>
      </c>
      <c r="H22" s="8">
        <v>0.68150045238876278</v>
      </c>
    </row>
    <row r="23" spans="1:8" x14ac:dyDescent="0.3">
      <c r="A23" s="7" t="s">
        <v>32</v>
      </c>
      <c r="B23" s="8">
        <v>0.10022608695652173</v>
      </c>
      <c r="C23" s="8">
        <v>0.25392608695652169</v>
      </c>
      <c r="D23" s="8">
        <v>6.464921421276709</v>
      </c>
      <c r="E23" s="8">
        <v>2.3100734759662398</v>
      </c>
      <c r="F23" s="9">
        <f t="shared" si="1"/>
        <v>35.732429297029888</v>
      </c>
      <c r="G23" s="7">
        <v>1</v>
      </c>
      <c r="H23" s="8">
        <v>0.7157478488563207</v>
      </c>
    </row>
    <row r="24" spans="1:8" x14ac:dyDescent="0.3">
      <c r="A24" s="7" t="s">
        <v>33</v>
      </c>
      <c r="B24" s="8">
        <v>0.11520869565217391</v>
      </c>
      <c r="C24" s="8">
        <v>0.27681304347826086</v>
      </c>
      <c r="D24" s="8">
        <v>7.4795995599664691</v>
      </c>
      <c r="E24" s="8">
        <v>2.9241309338783266</v>
      </c>
      <c r="F24" s="9">
        <f t="shared" si="1"/>
        <v>39.094752472168913</v>
      </c>
      <c r="G24" s="7">
        <v>1</v>
      </c>
      <c r="H24" s="8">
        <v>0.77260601743898638</v>
      </c>
    </row>
    <row r="25" spans="1:8" x14ac:dyDescent="0.3">
      <c r="A25" s="7" t="s">
        <v>34</v>
      </c>
      <c r="B25" s="8">
        <v>0.16483478260869566</v>
      </c>
      <c r="C25" s="8">
        <v>0.33910434782608689</v>
      </c>
      <c r="D25" s="8">
        <v>11.312201056929405</v>
      </c>
      <c r="E25" s="8">
        <v>4.9168459036765482</v>
      </c>
      <c r="F25" s="9">
        <f t="shared" si="1"/>
        <v>43.46497979422567</v>
      </c>
      <c r="G25" s="7">
        <v>1</v>
      </c>
      <c r="H25" s="8">
        <v>0.93210910195761076</v>
      </c>
    </row>
    <row r="26" spans="1:8" x14ac:dyDescent="0.3">
      <c r="A26" s="7" t="s">
        <v>35</v>
      </c>
      <c r="B26" s="8">
        <v>0.20611304347826084</v>
      </c>
      <c r="C26" s="8">
        <v>0.38446086956521741</v>
      </c>
      <c r="D26" s="8">
        <v>15.365689623481046</v>
      </c>
      <c r="E26" s="8">
        <v>7.3211724519158441</v>
      </c>
      <c r="F26" s="9">
        <f t="shared" si="1"/>
        <v>47.646234118434947</v>
      </c>
      <c r="G26" s="7">
        <v>1</v>
      </c>
      <c r="H26" s="8">
        <v>1.0266403531654371</v>
      </c>
    </row>
    <row r="27" spans="1:8" x14ac:dyDescent="0.3">
      <c r="A27" s="7" t="s">
        <v>36</v>
      </c>
      <c r="B27" s="8">
        <v>0.24729130434782606</v>
      </c>
      <c r="C27" s="8">
        <v>0.41428260869565214</v>
      </c>
      <c r="D27" s="8">
        <v>20.708565731928729</v>
      </c>
      <c r="E27" s="8">
        <v>11.018586629792484</v>
      </c>
      <c r="F27" s="9">
        <f t="shared" si="1"/>
        <v>53.207869499160374</v>
      </c>
      <c r="G27" s="7">
        <v>1</v>
      </c>
      <c r="H27" s="8">
        <v>1.1387074013791159</v>
      </c>
    </row>
    <row r="28" spans="1:8" x14ac:dyDescent="0.3">
      <c r="A28" s="7" t="s">
        <v>37</v>
      </c>
      <c r="B28" s="8">
        <v>0.27789565217391304</v>
      </c>
      <c r="C28" s="8">
        <v>0.42558695652173911</v>
      </c>
      <c r="D28" s="8">
        <v>27.133795314539306</v>
      </c>
      <c r="E28" s="8">
        <v>14.741128310224822</v>
      </c>
      <c r="F28" s="9">
        <f t="shared" si="1"/>
        <v>54.327557716652976</v>
      </c>
      <c r="G28" s="7">
        <v>1</v>
      </c>
      <c r="H28" s="8">
        <v>1.1939849959319309</v>
      </c>
    </row>
    <row r="29" spans="1:8" x14ac:dyDescent="0.3">
      <c r="A29" s="7" t="s">
        <v>38</v>
      </c>
      <c r="B29" s="8"/>
      <c r="C29" s="8"/>
      <c r="D29" s="8"/>
      <c r="E29" s="8"/>
      <c r="F29" s="9"/>
      <c r="G29" s="7"/>
      <c r="H29" s="7"/>
    </row>
    <row r="30" spans="1:8" x14ac:dyDescent="0.3">
      <c r="A30" s="7" t="s">
        <v>39</v>
      </c>
      <c r="B30" s="8"/>
      <c r="C30" s="8"/>
      <c r="D30" s="8"/>
      <c r="E30" s="8"/>
      <c r="F30" s="9"/>
      <c r="G30" s="7"/>
      <c r="H30" s="7"/>
    </row>
    <row r="31" spans="1:8" x14ac:dyDescent="0.3">
      <c r="A31" s="7" t="s">
        <v>40</v>
      </c>
      <c r="B31" s="8"/>
      <c r="C31" s="8"/>
      <c r="D31" s="8"/>
      <c r="E31" s="8"/>
      <c r="F31" s="9"/>
      <c r="G31" s="7"/>
      <c r="H31" s="7"/>
    </row>
    <row r="32" spans="1:8" x14ac:dyDescent="0.3">
      <c r="A32" s="7" t="s">
        <v>41</v>
      </c>
      <c r="B32" s="8"/>
      <c r="C32" s="8"/>
      <c r="D32" s="8"/>
      <c r="E32" s="8"/>
      <c r="F32" s="9"/>
      <c r="G32" s="7"/>
      <c r="H32" s="7"/>
    </row>
    <row r="33" spans="1:8" x14ac:dyDescent="0.3">
      <c r="A33" s="7" t="s">
        <v>42</v>
      </c>
      <c r="B33" s="8">
        <v>0.12021304347826087</v>
      </c>
      <c r="C33" s="8">
        <v>0.15690869565217391</v>
      </c>
      <c r="D33" s="8">
        <v>31.6304290862656</v>
      </c>
      <c r="E33" s="8">
        <v>17.806010624910634</v>
      </c>
      <c r="F33" s="9">
        <f t="shared" ref="F33:F47" si="2">E33/D33*100</f>
        <v>56.293926890300284</v>
      </c>
      <c r="G33" s="7">
        <v>3</v>
      </c>
      <c r="H33" s="8">
        <v>0.73855121961009218</v>
      </c>
    </row>
    <row r="34" spans="1:8" x14ac:dyDescent="0.3">
      <c r="A34" s="7" t="s">
        <v>43</v>
      </c>
      <c r="B34" s="8">
        <v>0.11126521739130434</v>
      </c>
      <c r="C34" s="8">
        <v>0.15103043478260866</v>
      </c>
      <c r="D34" s="8">
        <v>28.924346360603987</v>
      </c>
      <c r="E34" s="8">
        <v>16.336382579362859</v>
      </c>
      <c r="F34" s="9">
        <f t="shared" si="2"/>
        <v>56.479694910629362</v>
      </c>
      <c r="G34" s="7">
        <v>3</v>
      </c>
      <c r="H34" s="8">
        <v>0.72232283179822676</v>
      </c>
    </row>
    <row r="35" spans="1:8" x14ac:dyDescent="0.3">
      <c r="A35" s="7" t="s">
        <v>44</v>
      </c>
      <c r="B35" s="8">
        <v>0.10315217391304347</v>
      </c>
      <c r="C35" s="8">
        <v>0.13141739130434782</v>
      </c>
      <c r="D35" s="8">
        <v>24.415618998535162</v>
      </c>
      <c r="E35" s="8">
        <v>13.954249035694041</v>
      </c>
      <c r="F35" s="9">
        <f t="shared" si="2"/>
        <v>57.152960310083635</v>
      </c>
      <c r="G35" s="7">
        <v>3</v>
      </c>
      <c r="H35" s="8">
        <v>0.70300432577245708</v>
      </c>
    </row>
    <row r="36" spans="1:8" x14ac:dyDescent="0.3">
      <c r="A36" s="7" t="s">
        <v>45</v>
      </c>
      <c r="B36" s="8">
        <v>9.2208695652173919E-2</v>
      </c>
      <c r="C36" s="8">
        <v>0.11621304347826086</v>
      </c>
      <c r="D36" s="8">
        <v>18.963922316656223</v>
      </c>
      <c r="E36" s="8">
        <v>11.424848948933978</v>
      </c>
      <c r="F36" s="9">
        <f t="shared" si="2"/>
        <v>60.245179020267372</v>
      </c>
      <c r="G36" s="7">
        <v>3</v>
      </c>
      <c r="H36" s="8">
        <v>0.64120620881519574</v>
      </c>
    </row>
    <row r="37" spans="1:8" x14ac:dyDescent="0.3">
      <c r="A37" s="7" t="s">
        <v>46</v>
      </c>
      <c r="B37" s="8">
        <v>0.12888260869565216</v>
      </c>
      <c r="C37" s="8">
        <v>0.12628260869565217</v>
      </c>
      <c r="D37" s="8">
        <v>19.630586393543293</v>
      </c>
      <c r="E37" s="8">
        <v>11.548209096218779</v>
      </c>
      <c r="F37" s="9">
        <f t="shared" si="2"/>
        <v>58.82763186339205</v>
      </c>
      <c r="G37" s="7">
        <v>1</v>
      </c>
      <c r="H37" s="8">
        <v>0.68999991336508559</v>
      </c>
    </row>
    <row r="38" spans="1:8" x14ac:dyDescent="0.3">
      <c r="A38" s="7" t="s">
        <v>47</v>
      </c>
      <c r="B38" s="8">
        <v>0.13472608695652175</v>
      </c>
      <c r="C38" s="8">
        <v>0.16180434782608694</v>
      </c>
      <c r="D38" s="8">
        <v>14.86471559341568</v>
      </c>
      <c r="E38" s="8">
        <v>9.4613311061668863</v>
      </c>
      <c r="F38" s="9">
        <f t="shared" si="2"/>
        <v>63.649593876910636</v>
      </c>
      <c r="G38" s="7">
        <v>1</v>
      </c>
      <c r="H38" s="8">
        <v>0.75797551089094706</v>
      </c>
    </row>
    <row r="39" spans="1:8" x14ac:dyDescent="0.3">
      <c r="A39" s="7" t="s">
        <v>48</v>
      </c>
      <c r="B39" s="8">
        <v>0.1471782608695652</v>
      </c>
      <c r="C39" s="8">
        <v>0.20990434782608694</v>
      </c>
      <c r="D39" s="8">
        <v>12.655740962284179</v>
      </c>
      <c r="E39" s="8">
        <v>8.3172026067801994</v>
      </c>
      <c r="F39" s="9">
        <f t="shared" si="2"/>
        <v>65.718811972895054</v>
      </c>
      <c r="G39" s="7">
        <v>1</v>
      </c>
      <c r="H39" s="8">
        <v>0.81824183728953603</v>
      </c>
    </row>
    <row r="40" spans="1:8" x14ac:dyDescent="0.3">
      <c r="A40" s="7" t="s">
        <v>49</v>
      </c>
      <c r="B40" s="8">
        <v>0.16389999999999999</v>
      </c>
      <c r="C40" s="8">
        <v>0.26580869565217391</v>
      </c>
      <c r="D40" s="8">
        <v>12.1873149170618</v>
      </c>
      <c r="E40" s="8">
        <v>7.6945977487866015</v>
      </c>
      <c r="F40" s="9">
        <f t="shared" si="2"/>
        <v>63.136119819259321</v>
      </c>
      <c r="G40" s="7">
        <v>1</v>
      </c>
      <c r="H40" s="8">
        <v>0.88788214809953614</v>
      </c>
    </row>
    <row r="41" spans="1:8" x14ac:dyDescent="0.3">
      <c r="A41" s="7" t="s">
        <v>50</v>
      </c>
      <c r="B41" s="8">
        <v>0.18369999999999997</v>
      </c>
      <c r="C41" s="8">
        <v>0.32486956521739124</v>
      </c>
      <c r="D41" s="8">
        <v>13.079676459258341</v>
      </c>
      <c r="E41" s="8">
        <v>7.2049313500741565</v>
      </c>
      <c r="F41" s="9">
        <f t="shared" si="2"/>
        <v>55.084935567914641</v>
      </c>
      <c r="G41" s="7">
        <v>1</v>
      </c>
      <c r="H41" s="8">
        <v>0.95058007801312838</v>
      </c>
    </row>
    <row r="42" spans="1:8" x14ac:dyDescent="0.3">
      <c r="A42" s="7" t="s">
        <v>51</v>
      </c>
      <c r="B42" s="8">
        <v>0.20611304347826084</v>
      </c>
      <c r="C42" s="8">
        <v>0.38446956521739134</v>
      </c>
      <c r="D42" s="8">
        <v>15.365681403540899</v>
      </c>
      <c r="E42" s="8">
        <v>7.3209359693771354</v>
      </c>
      <c r="F42" s="9">
        <f t="shared" si="2"/>
        <v>47.644720576401411</v>
      </c>
      <c r="G42" s="7">
        <v>1</v>
      </c>
      <c r="H42" s="8">
        <v>1.0250028897777248</v>
      </c>
    </row>
    <row r="43" spans="1:8" x14ac:dyDescent="0.3">
      <c r="A43" s="7" t="s">
        <v>52</v>
      </c>
      <c r="B43" s="8">
        <v>0.23332173913043477</v>
      </c>
      <c r="C43" s="8">
        <v>0.44270869565217386</v>
      </c>
      <c r="D43" s="8">
        <v>19.11926863997763</v>
      </c>
      <c r="E43" s="8">
        <v>8.2153138348564756</v>
      </c>
      <c r="F43" s="9">
        <f t="shared" si="2"/>
        <v>42.968766167543571</v>
      </c>
      <c r="G43" s="7">
        <v>1</v>
      </c>
      <c r="H43" s="8">
        <v>1.1139426709240245</v>
      </c>
    </row>
    <row r="44" spans="1:8" x14ac:dyDescent="0.3">
      <c r="A44" s="7" t="s">
        <v>53</v>
      </c>
      <c r="B44" s="8">
        <v>0.26324782608695652</v>
      </c>
      <c r="C44" s="8">
        <v>0.49852173913043474</v>
      </c>
      <c r="D44" s="8">
        <v>24.255832548929789</v>
      </c>
      <c r="E44" s="8">
        <v>9.6712084362046333</v>
      </c>
      <c r="F44" s="9">
        <f t="shared" si="2"/>
        <v>39.871682065315646</v>
      </c>
      <c r="G44" s="7">
        <v>1</v>
      </c>
      <c r="H44" s="8">
        <v>1.1459772360287317</v>
      </c>
    </row>
    <row r="45" spans="1:8" x14ac:dyDescent="0.3">
      <c r="A45" s="7" t="s">
        <v>54</v>
      </c>
      <c r="B45" s="8">
        <v>0.33118695652173913</v>
      </c>
      <c r="C45" s="8">
        <v>0.60379565217391296</v>
      </c>
      <c r="D45" s="8">
        <v>38.636592171284725</v>
      </c>
      <c r="E45" s="8">
        <v>14.733102974491565</v>
      </c>
      <c r="F45" s="9">
        <f t="shared" si="2"/>
        <v>38.132511555823548</v>
      </c>
      <c r="G45" s="7">
        <v>2</v>
      </c>
      <c r="H45" s="8">
        <v>1.2981333721204193</v>
      </c>
    </row>
    <row r="46" spans="1:8" x14ac:dyDescent="0.3">
      <c r="A46" s="7" t="s">
        <v>55</v>
      </c>
      <c r="B46" s="8">
        <v>0.36841304347826087</v>
      </c>
      <c r="C46" s="8">
        <v>0.65008260869565215</v>
      </c>
      <c r="D46" s="8">
        <v>47.728179899999844</v>
      </c>
      <c r="E46" s="8">
        <v>18.08938842731196</v>
      </c>
      <c r="F46" s="9">
        <f t="shared" si="2"/>
        <v>37.900855354662326</v>
      </c>
      <c r="G46" s="7">
        <v>2</v>
      </c>
      <c r="H46" s="8">
        <v>1.3737150713371362</v>
      </c>
    </row>
    <row r="47" spans="1:8" x14ac:dyDescent="0.3">
      <c r="A47" s="7" t="s">
        <v>56</v>
      </c>
      <c r="B47" s="8">
        <v>0.40676521739130433</v>
      </c>
      <c r="C47" s="8">
        <v>0.69447826086956521</v>
      </c>
      <c r="D47" s="8">
        <v>58.053553684921035</v>
      </c>
      <c r="E47" s="8">
        <v>22.056788810217057</v>
      </c>
      <c r="F47" s="9">
        <f t="shared" si="2"/>
        <v>37.993864992189344</v>
      </c>
      <c r="G47" s="7">
        <v>2</v>
      </c>
      <c r="H47" s="8">
        <v>1.4325033627255908</v>
      </c>
    </row>
    <row r="48" spans="1:8" x14ac:dyDescent="0.3">
      <c r="A48" s="7" t="s">
        <v>57</v>
      </c>
      <c r="B48" s="8"/>
      <c r="C48" s="8"/>
      <c r="D48" s="8"/>
      <c r="E48" s="8"/>
      <c r="F48" s="9"/>
      <c r="G48" s="7"/>
      <c r="H48" s="7"/>
    </row>
    <row r="49" spans="1:8" x14ac:dyDescent="0.3">
      <c r="A49" s="7" t="s">
        <v>58</v>
      </c>
      <c r="B49" s="8"/>
      <c r="C49" s="8"/>
      <c r="D49" s="8"/>
      <c r="E49" s="8"/>
      <c r="F49" s="9"/>
      <c r="G49" s="7"/>
      <c r="H49" s="7"/>
    </row>
    <row r="50" spans="1:8" x14ac:dyDescent="0.3">
      <c r="A50" s="7" t="s">
        <v>59</v>
      </c>
      <c r="B50" s="8"/>
      <c r="C50" s="8"/>
      <c r="D50" s="8"/>
      <c r="E50" s="8"/>
      <c r="F50" s="9"/>
      <c r="G50" s="7"/>
      <c r="H50" s="7"/>
    </row>
    <row r="51" spans="1:8" x14ac:dyDescent="0.3">
      <c r="A51" s="7" t="s">
        <v>60</v>
      </c>
      <c r="B51" s="8"/>
      <c r="C51" s="8"/>
      <c r="D51" s="8"/>
      <c r="E51" s="8"/>
      <c r="F51" s="9"/>
      <c r="G51" s="7"/>
      <c r="H51" s="7"/>
    </row>
    <row r="52" spans="1:8" x14ac:dyDescent="0.3">
      <c r="A52" s="7" t="s">
        <v>61</v>
      </c>
      <c r="B52" s="8"/>
      <c r="C52" s="8"/>
      <c r="D52" s="8"/>
      <c r="E52" s="8"/>
      <c r="F52" s="9"/>
      <c r="G52" s="7"/>
      <c r="H52" s="7"/>
    </row>
    <row r="53" spans="1:8" x14ac:dyDescent="0.3">
      <c r="A53" s="7" t="s">
        <v>62</v>
      </c>
      <c r="B53" s="8"/>
      <c r="C53" s="8"/>
      <c r="D53" s="8"/>
      <c r="E53" s="8"/>
      <c r="F53" s="9"/>
      <c r="G53" s="7"/>
      <c r="H53" s="7"/>
    </row>
    <row r="54" spans="1:8" x14ac:dyDescent="0.3">
      <c r="A54" s="7" t="s">
        <v>63</v>
      </c>
      <c r="B54" s="8"/>
      <c r="C54" s="8"/>
      <c r="D54" s="8"/>
      <c r="E54" s="8"/>
      <c r="F54" s="9"/>
      <c r="G54" s="7"/>
      <c r="H54" s="7"/>
    </row>
    <row r="55" spans="1:8" x14ac:dyDescent="0.3">
      <c r="A55" s="7" t="s">
        <v>64</v>
      </c>
      <c r="B55" s="8"/>
      <c r="C55" s="8"/>
      <c r="D55" s="8"/>
      <c r="E55" s="8"/>
      <c r="F55" s="9"/>
      <c r="G55" s="7"/>
      <c r="H55" s="7"/>
    </row>
    <row r="56" spans="1:8" x14ac:dyDescent="0.3">
      <c r="A56" s="7" t="s">
        <v>65</v>
      </c>
      <c r="B56" s="8"/>
      <c r="C56" s="8"/>
      <c r="D56" s="8"/>
      <c r="E56" s="8"/>
      <c r="F56" s="9"/>
      <c r="G56" s="7"/>
      <c r="H56" s="7"/>
    </row>
    <row r="57" spans="1:8" x14ac:dyDescent="0.3">
      <c r="A57" s="7" t="s">
        <v>66</v>
      </c>
      <c r="B57" s="8"/>
      <c r="C57" s="8"/>
      <c r="D57" s="8"/>
      <c r="E57" s="8"/>
      <c r="F57" s="9"/>
      <c r="G57" s="7"/>
      <c r="H57" s="7"/>
    </row>
    <row r="58" spans="1:8" x14ac:dyDescent="0.3">
      <c r="A58" s="7" t="s">
        <v>67</v>
      </c>
      <c r="B58" s="8"/>
      <c r="C58" s="8"/>
      <c r="D58" s="8"/>
      <c r="E58" s="8"/>
      <c r="F58" s="9"/>
      <c r="G58" s="7"/>
      <c r="H58" s="7"/>
    </row>
    <row r="59" spans="1:8" x14ac:dyDescent="0.3">
      <c r="A59" s="7" t="s">
        <v>68</v>
      </c>
      <c r="B59" s="8"/>
      <c r="C59" s="8"/>
      <c r="D59" s="8"/>
      <c r="E59" s="8"/>
      <c r="F59" s="9"/>
      <c r="G59" s="7"/>
      <c r="H59" s="7"/>
    </row>
    <row r="60" spans="1:8" x14ac:dyDescent="0.3">
      <c r="A60" s="7" t="s">
        <v>69</v>
      </c>
      <c r="B60" s="8"/>
      <c r="C60" s="8"/>
      <c r="D60" s="8"/>
      <c r="E60" s="8"/>
      <c r="F60" s="9"/>
      <c r="G60" s="7"/>
      <c r="H60" s="7"/>
    </row>
    <row r="61" spans="1:8" x14ac:dyDescent="0.3">
      <c r="A61" s="7" t="s">
        <v>70</v>
      </c>
      <c r="B61" s="8"/>
      <c r="C61" s="8"/>
      <c r="D61" s="8"/>
      <c r="E61" s="8"/>
      <c r="F61" s="9"/>
      <c r="G61" s="7"/>
      <c r="H61" s="7"/>
    </row>
    <row r="62" spans="1:8" x14ac:dyDescent="0.3">
      <c r="A62" s="7" t="s">
        <v>71</v>
      </c>
      <c r="B62" s="8"/>
      <c r="C62" s="8"/>
      <c r="D62" s="8"/>
      <c r="E62" s="8"/>
      <c r="F62" s="9"/>
      <c r="G62" s="7"/>
      <c r="H62" s="7"/>
    </row>
    <row r="63" spans="1:8" x14ac:dyDescent="0.3">
      <c r="A63" s="7" t="s">
        <v>72</v>
      </c>
      <c r="B63" s="8"/>
      <c r="C63" s="8"/>
      <c r="D63" s="8"/>
      <c r="E63" s="8"/>
      <c r="F63" s="9"/>
      <c r="G63" s="7"/>
      <c r="H63" s="7"/>
    </row>
    <row r="64" spans="1:8" x14ac:dyDescent="0.3">
      <c r="A64" s="7" t="s">
        <v>73</v>
      </c>
      <c r="B64" s="8">
        <v>6.9191304347826083E-2</v>
      </c>
      <c r="C64" s="8">
        <v>8.2604347826086943E-2</v>
      </c>
      <c r="D64" s="8">
        <v>8.9593558583989541</v>
      </c>
      <c r="E64" s="8">
        <v>5.8524460413967789</v>
      </c>
      <c r="F64" s="9">
        <f t="shared" ref="F64:F91" si="3">E64/D64*100</f>
        <v>65.322174204191256</v>
      </c>
      <c r="G64" s="7">
        <v>3</v>
      </c>
      <c r="H64" s="8">
        <v>0.61654869679317104</v>
      </c>
    </row>
    <row r="65" spans="1:8" x14ac:dyDescent="0.3">
      <c r="A65" s="7" t="s">
        <v>74</v>
      </c>
      <c r="B65" s="8">
        <v>6.4478260869565207E-2</v>
      </c>
      <c r="C65" s="8">
        <v>6.863043478260869E-2</v>
      </c>
      <c r="D65" s="8">
        <v>7.3224841470723341</v>
      </c>
      <c r="E65" s="8">
        <v>4.8628136150504995</v>
      </c>
      <c r="F65" s="9">
        <f t="shared" si="3"/>
        <v>66.40934302322448</v>
      </c>
      <c r="G65" s="7">
        <v>3</v>
      </c>
      <c r="H65" s="8">
        <v>0.59717719060627106</v>
      </c>
    </row>
    <row r="66" spans="1:8" x14ac:dyDescent="0.3">
      <c r="A66" s="7" t="s">
        <v>75</v>
      </c>
      <c r="B66" s="8">
        <v>6.0313043478260872E-2</v>
      </c>
      <c r="C66" s="8">
        <v>6.8930434782608699E-2</v>
      </c>
      <c r="D66" s="8">
        <v>5.8952822438348296</v>
      </c>
      <c r="E66" s="8">
        <v>3.6299357921120805</v>
      </c>
      <c r="F66" s="9">
        <f t="shared" si="3"/>
        <v>61.57357089914052</v>
      </c>
      <c r="G66" s="7">
        <v>3</v>
      </c>
      <c r="H66" s="8">
        <v>0.6162209738075064</v>
      </c>
    </row>
    <row r="67" spans="1:8" x14ac:dyDescent="0.3">
      <c r="A67" s="7" t="s">
        <v>76</v>
      </c>
      <c r="B67" s="8">
        <v>5.4756521739130426E-2</v>
      </c>
      <c r="C67" s="8">
        <v>8.8434782608695653E-2</v>
      </c>
      <c r="D67" s="8">
        <v>3.68607916607509</v>
      </c>
      <c r="E67" s="8">
        <v>2.3817383802132417</v>
      </c>
      <c r="F67" s="9">
        <f t="shared" si="3"/>
        <v>64.614412032536436</v>
      </c>
      <c r="G67" s="7">
        <v>3</v>
      </c>
      <c r="H67" s="8">
        <v>0.58337069380087991</v>
      </c>
    </row>
    <row r="68" spans="1:8" x14ac:dyDescent="0.3">
      <c r="A68" s="7" t="s">
        <v>77</v>
      </c>
      <c r="B68" s="8">
        <v>5.3817391304347824E-2</v>
      </c>
      <c r="C68" s="8">
        <v>9.99391304347826E-2</v>
      </c>
      <c r="D68" s="8">
        <v>2.9020621681926344</v>
      </c>
      <c r="E68" s="8">
        <v>1.8963372055340877</v>
      </c>
      <c r="F68" s="9">
        <f t="shared" si="3"/>
        <v>65.344472159088895</v>
      </c>
      <c r="G68" s="7">
        <v>3</v>
      </c>
      <c r="H68" s="8">
        <v>0.58617287699492393</v>
      </c>
    </row>
    <row r="69" spans="1:8" x14ac:dyDescent="0.3">
      <c r="A69" s="7" t="s">
        <v>78</v>
      </c>
      <c r="B69" s="8">
        <v>5.4352173913043478E-2</v>
      </c>
      <c r="C69" s="8">
        <v>0.11292608695652173</v>
      </c>
      <c r="D69" s="8">
        <v>2.3422795222786306</v>
      </c>
      <c r="E69" s="8">
        <v>1.5046597457913693</v>
      </c>
      <c r="F69" s="9">
        <f t="shared" si="3"/>
        <v>64.239119690018768</v>
      </c>
      <c r="G69" s="7">
        <v>3</v>
      </c>
      <c r="H69" s="8">
        <v>0.59193625369560232</v>
      </c>
    </row>
    <row r="70" spans="1:8" x14ac:dyDescent="0.3">
      <c r="A70" s="7" t="s">
        <v>79</v>
      </c>
      <c r="B70" s="8">
        <v>5.6391304347826091E-2</v>
      </c>
      <c r="C70" s="8">
        <v>0.12923043478260868</v>
      </c>
      <c r="D70" s="8">
        <v>2.0024875044780051</v>
      </c>
      <c r="E70" s="8">
        <v>1.2188725931244013</v>
      </c>
      <c r="F70" s="9">
        <f t="shared" si="3"/>
        <v>60.867925038170398</v>
      </c>
      <c r="G70" s="7">
        <v>1</v>
      </c>
      <c r="H70" s="8">
        <v>0.60068147907556302</v>
      </c>
    </row>
    <row r="71" spans="1:8" x14ac:dyDescent="0.3">
      <c r="A71" s="7" t="s">
        <v>80</v>
      </c>
      <c r="B71" s="8">
        <v>4.6608695652173911E-2</v>
      </c>
      <c r="C71" s="8">
        <v>6.0826086956521738E-2</v>
      </c>
      <c r="D71" s="8">
        <v>4.4770188421746155</v>
      </c>
      <c r="E71" s="8">
        <v>2.6783673176152449</v>
      </c>
      <c r="F71" s="9">
        <f t="shared" si="3"/>
        <v>59.824794400782231</v>
      </c>
      <c r="G71" s="7">
        <v>3</v>
      </c>
      <c r="H71" s="8">
        <v>0.53892597540991061</v>
      </c>
    </row>
    <row r="72" spans="1:8" x14ac:dyDescent="0.3">
      <c r="A72" s="7" t="s">
        <v>81</v>
      </c>
      <c r="B72" s="8">
        <v>4.318695652173913E-2</v>
      </c>
      <c r="C72" s="8">
        <v>6.5082608695652175E-2</v>
      </c>
      <c r="D72" s="8">
        <v>3.6533648032705912</v>
      </c>
      <c r="E72" s="8">
        <v>2.2052095811479604</v>
      </c>
      <c r="F72" s="9">
        <f t="shared" si="3"/>
        <v>60.361056174127391</v>
      </c>
      <c r="G72" s="7">
        <v>3</v>
      </c>
      <c r="H72" s="8">
        <v>0.53934263553854356</v>
      </c>
    </row>
    <row r="73" spans="1:8" x14ac:dyDescent="0.3">
      <c r="A73" s="7" t="s">
        <v>82</v>
      </c>
      <c r="B73" s="8">
        <v>4.0452173913043475E-2</v>
      </c>
      <c r="C73" s="8">
        <v>6.8721739130434778E-2</v>
      </c>
      <c r="D73" s="8">
        <v>2.9385258692863774</v>
      </c>
      <c r="E73" s="8">
        <v>1.7749746412586236</v>
      </c>
      <c r="F73" s="9">
        <f t="shared" si="3"/>
        <v>60.403573771827205</v>
      </c>
      <c r="G73" s="7">
        <v>3</v>
      </c>
      <c r="H73" s="8">
        <v>0.5277128689842816</v>
      </c>
    </row>
    <row r="74" spans="1:8" x14ac:dyDescent="0.3">
      <c r="A74" s="7" t="s">
        <v>83</v>
      </c>
      <c r="B74" s="8">
        <v>3.6843478260869568E-2</v>
      </c>
      <c r="C74" s="8">
        <v>7.9456521739130426E-2</v>
      </c>
      <c r="D74" s="8">
        <v>1.8306589411465901</v>
      </c>
      <c r="E74" s="8">
        <v>1.1072668235349954</v>
      </c>
      <c r="F74" s="9">
        <f t="shared" si="3"/>
        <v>60.484604676908575</v>
      </c>
      <c r="G74" s="7">
        <v>3</v>
      </c>
      <c r="H74" s="8">
        <v>0.51476155915109034</v>
      </c>
    </row>
    <row r="75" spans="1:8" x14ac:dyDescent="0.3">
      <c r="A75" s="7" t="s">
        <v>84</v>
      </c>
      <c r="B75" s="8">
        <v>3.6247826086956522E-2</v>
      </c>
      <c r="C75" s="8">
        <v>8.5765217391304341E-2</v>
      </c>
      <c r="D75" s="8">
        <v>1.4423734140380082</v>
      </c>
      <c r="E75" s="8">
        <v>0.85696060473507762</v>
      </c>
      <c r="F75" s="9">
        <f t="shared" si="3"/>
        <v>59.413227975130702</v>
      </c>
      <c r="G75" s="7">
        <v>3</v>
      </c>
      <c r="H75" s="8">
        <v>0.50347429388154752</v>
      </c>
    </row>
    <row r="76" spans="1:8" x14ac:dyDescent="0.3">
      <c r="A76" s="7" t="s">
        <v>85</v>
      </c>
      <c r="B76" s="8">
        <v>3.673478260869565E-2</v>
      </c>
      <c r="C76" s="8">
        <v>9.4595652173913039E-2</v>
      </c>
      <c r="D76" s="8">
        <v>1.1647100434666673</v>
      </c>
      <c r="E76" s="8">
        <v>0.67223901506591099</v>
      </c>
      <c r="F76" s="9">
        <f t="shared" si="3"/>
        <v>57.717284987518845</v>
      </c>
      <c r="G76" s="7">
        <v>3</v>
      </c>
      <c r="H76" s="8">
        <v>0.48137018012339744</v>
      </c>
    </row>
    <row r="77" spans="1:8" x14ac:dyDescent="0.3">
      <c r="A77" s="7" t="s">
        <v>86</v>
      </c>
      <c r="B77" s="8">
        <v>3.7708695652173913E-2</v>
      </c>
      <c r="C77" s="8">
        <v>0.10459565217391303</v>
      </c>
      <c r="D77" s="8">
        <v>0.99265526332230858</v>
      </c>
      <c r="E77" s="8">
        <v>0.53017737220736816</v>
      </c>
      <c r="F77" s="9">
        <f t="shared" si="3"/>
        <v>53.410019751763812</v>
      </c>
      <c r="G77" s="7">
        <v>3</v>
      </c>
      <c r="H77" s="8">
        <v>0.47203585366692458</v>
      </c>
    </row>
    <row r="78" spans="1:8" x14ac:dyDescent="0.3">
      <c r="A78" s="7" t="s">
        <v>87</v>
      </c>
      <c r="B78" s="8">
        <v>3.8791304347826079E-2</v>
      </c>
      <c r="C78" s="8">
        <v>6.1099999999999995E-2</v>
      </c>
      <c r="D78" s="8">
        <v>3.3069770934492899</v>
      </c>
      <c r="E78" s="8">
        <v>1.9556451599651992</v>
      </c>
      <c r="F78" s="9">
        <f t="shared" si="3"/>
        <v>59.136943035955369</v>
      </c>
      <c r="G78" s="7">
        <v>3</v>
      </c>
      <c r="H78" s="8">
        <v>0.52578270751440814</v>
      </c>
    </row>
    <row r="79" spans="1:8" x14ac:dyDescent="0.3">
      <c r="A79" s="7" t="s">
        <v>88</v>
      </c>
      <c r="B79" s="8">
        <v>3.6004347826086955E-2</v>
      </c>
      <c r="C79" s="8">
        <v>6.3891304347826083E-2</v>
      </c>
      <c r="D79" s="8">
        <v>2.6982974392094121</v>
      </c>
      <c r="E79" s="8">
        <v>1.5843395853716913</v>
      </c>
      <c r="F79" s="9">
        <f t="shared" si="3"/>
        <v>58.716269094332873</v>
      </c>
      <c r="G79" s="7">
        <v>3</v>
      </c>
      <c r="H79" s="8">
        <v>0.52834821513266761</v>
      </c>
    </row>
    <row r="80" spans="1:8" x14ac:dyDescent="0.3">
      <c r="A80" s="7" t="s">
        <v>89</v>
      </c>
      <c r="B80" s="8">
        <v>3.3730434782608697E-2</v>
      </c>
      <c r="C80" s="8">
        <v>6.7704347826086961E-2</v>
      </c>
      <c r="D80" s="8">
        <v>2.1679923921325788</v>
      </c>
      <c r="E80" s="8">
        <v>1.2732169578920702</v>
      </c>
      <c r="F80" s="9">
        <f t="shared" si="3"/>
        <v>58.727925545884915</v>
      </c>
      <c r="G80" s="7">
        <v>3</v>
      </c>
      <c r="H80" s="8">
        <v>0.52386041071082989</v>
      </c>
    </row>
    <row r="81" spans="1:8" x14ac:dyDescent="0.3">
      <c r="A81" s="7" t="s">
        <v>90</v>
      </c>
      <c r="B81" s="8">
        <v>3.091304347826087E-2</v>
      </c>
      <c r="C81" s="8">
        <v>7.511739130434783E-2</v>
      </c>
      <c r="D81" s="8">
        <v>1.3521446525245644</v>
      </c>
      <c r="E81" s="8">
        <v>0.77089087925642663</v>
      </c>
      <c r="F81" s="9">
        <f t="shared" si="3"/>
        <v>57.012456309102021</v>
      </c>
      <c r="G81" s="7">
        <v>3</v>
      </c>
      <c r="H81" s="8">
        <v>0.5038325298816998</v>
      </c>
    </row>
    <row r="82" spans="1:8" x14ac:dyDescent="0.3">
      <c r="A82" s="7" t="s">
        <v>91</v>
      </c>
      <c r="B82" s="8">
        <v>3.0539130434782607E-2</v>
      </c>
      <c r="C82" s="8">
        <v>8.1160869565217383E-2</v>
      </c>
      <c r="D82" s="8">
        <v>1.0644939142884648</v>
      </c>
      <c r="E82" s="8">
        <v>0.6043129927152282</v>
      </c>
      <c r="F82" s="9">
        <f t="shared" si="3"/>
        <v>56.769980983796096</v>
      </c>
      <c r="G82" s="7">
        <v>3</v>
      </c>
      <c r="H82" s="8">
        <v>0.466916333400135</v>
      </c>
    </row>
    <row r="83" spans="1:8" x14ac:dyDescent="0.3">
      <c r="A83" s="7" t="s">
        <v>92</v>
      </c>
      <c r="B83" s="8">
        <v>3.0739130434782606E-2</v>
      </c>
      <c r="C83" s="8">
        <v>8.7465217391304348E-2</v>
      </c>
      <c r="D83" s="8">
        <v>0.85530464674268103</v>
      </c>
      <c r="E83" s="8">
        <v>0.46180769043583547</v>
      </c>
      <c r="F83" s="9">
        <f t="shared" si="3"/>
        <v>53.993356892724876</v>
      </c>
      <c r="G83" s="7">
        <v>3</v>
      </c>
      <c r="H83" s="8">
        <v>0.45869218016206031</v>
      </c>
    </row>
    <row r="84" spans="1:8" x14ac:dyDescent="0.3">
      <c r="A84" s="7" t="s">
        <v>93</v>
      </c>
      <c r="B84" s="8">
        <v>3.1243478260869564E-2</v>
      </c>
      <c r="C84" s="8">
        <v>9.4008695652173901E-2</v>
      </c>
      <c r="D84" s="8">
        <v>0.73093987133736438</v>
      </c>
      <c r="E84" s="8">
        <v>0.36455958547635114</v>
      </c>
      <c r="F84" s="9">
        <f t="shared" si="3"/>
        <v>49.875454845462812</v>
      </c>
      <c r="G84" s="7">
        <v>3</v>
      </c>
      <c r="H84" s="8">
        <v>0.43851541226881868</v>
      </c>
    </row>
    <row r="85" spans="1:8" x14ac:dyDescent="0.3">
      <c r="A85" s="7" t="s">
        <v>94</v>
      </c>
      <c r="B85" s="8">
        <v>3.1026086956521738E-2</v>
      </c>
      <c r="C85" s="8">
        <v>6.0882608695652173E-2</v>
      </c>
      <c r="D85" s="8">
        <v>2.3087268824746539</v>
      </c>
      <c r="E85" s="8">
        <v>1.3182693593126404</v>
      </c>
      <c r="F85" s="9">
        <f t="shared" si="3"/>
        <v>57.099407007364498</v>
      </c>
      <c r="G85" s="7">
        <v>3</v>
      </c>
      <c r="H85" s="8">
        <v>0.51268748724868329</v>
      </c>
    </row>
    <row r="86" spans="1:8" x14ac:dyDescent="0.3">
      <c r="A86" s="7" t="s">
        <v>95</v>
      </c>
      <c r="B86" s="8">
        <v>2.8904347826086956E-2</v>
      </c>
      <c r="C86" s="8">
        <v>6.2739130434782603E-2</v>
      </c>
      <c r="D86" s="8">
        <v>1.8816743657516763</v>
      </c>
      <c r="E86" s="8">
        <v>1.0568464937049158</v>
      </c>
      <c r="F86" s="9">
        <f t="shared" si="3"/>
        <v>56.16521715662185</v>
      </c>
      <c r="G86" s="7">
        <v>3</v>
      </c>
      <c r="H86" s="8">
        <v>0.50580733059634475</v>
      </c>
    </row>
    <row r="87" spans="1:8" x14ac:dyDescent="0.3">
      <c r="A87" s="7" t="s">
        <v>96</v>
      </c>
      <c r="B87" s="8">
        <v>2.726086956521739E-2</v>
      </c>
      <c r="C87" s="8">
        <v>6.5147826086956517E-2</v>
      </c>
      <c r="D87" s="8">
        <v>1.5151141222926079</v>
      </c>
      <c r="E87" s="8">
        <v>0.84669040886764069</v>
      </c>
      <c r="F87" s="9">
        <f t="shared" si="3"/>
        <v>55.882946136523628</v>
      </c>
      <c r="G87" s="7">
        <v>3</v>
      </c>
      <c r="H87" s="8">
        <v>0.47965068857242471</v>
      </c>
    </row>
    <row r="88" spans="1:8" x14ac:dyDescent="0.3">
      <c r="A88" s="7" t="s">
        <v>97</v>
      </c>
      <c r="B88" s="8">
        <v>2.5143478260869562E-2</v>
      </c>
      <c r="C88" s="8">
        <v>7.1069565217391301E-2</v>
      </c>
      <c r="D88" s="8">
        <v>0.9440609521728256</v>
      </c>
      <c r="E88" s="8">
        <v>0.50856507733593903</v>
      </c>
      <c r="F88" s="9">
        <f t="shared" si="3"/>
        <v>53.869940936063408</v>
      </c>
      <c r="G88" s="7">
        <v>3</v>
      </c>
      <c r="H88" s="8">
        <v>0.45363246202666518</v>
      </c>
    </row>
    <row r="89" spans="1:8" x14ac:dyDescent="0.3">
      <c r="A89" s="7" t="s">
        <v>98</v>
      </c>
      <c r="B89" s="8">
        <v>2.4621739130434781E-2</v>
      </c>
      <c r="C89" s="8">
        <v>7.4491304347826082E-2</v>
      </c>
      <c r="D89" s="8">
        <v>0.74002368677258412</v>
      </c>
      <c r="E89" s="8">
        <v>0.38043190378906927</v>
      </c>
      <c r="F89" s="9">
        <f t="shared" si="3"/>
        <v>51.408071199480318</v>
      </c>
      <c r="G89" s="7">
        <v>3</v>
      </c>
      <c r="H89" s="8">
        <v>0.45483025954577982</v>
      </c>
    </row>
    <row r="90" spans="1:8" x14ac:dyDescent="0.3">
      <c r="A90" s="7" t="s">
        <v>99</v>
      </c>
      <c r="B90" s="8">
        <v>2.4078260869565219E-2</v>
      </c>
      <c r="C90" s="8">
        <v>7.8247826086956518E-2</v>
      </c>
      <c r="D90" s="8">
        <v>0.59389145181090852</v>
      </c>
      <c r="E90" s="8">
        <v>0.29163181607959909</v>
      </c>
      <c r="F90" s="9">
        <f t="shared" si="3"/>
        <v>49.105238876624362</v>
      </c>
      <c r="G90" s="7">
        <v>3</v>
      </c>
      <c r="H90" s="8">
        <v>0.43152400965911725</v>
      </c>
    </row>
    <row r="91" spans="1:8" x14ac:dyDescent="0.3">
      <c r="A91" s="7" t="s">
        <v>100</v>
      </c>
      <c r="B91" s="8">
        <v>2.5373913043478261E-2</v>
      </c>
      <c r="C91" s="8">
        <v>8.4404347826086953E-2</v>
      </c>
      <c r="D91" s="8">
        <v>0.50946690143288498</v>
      </c>
      <c r="E91" s="8">
        <v>0.22897561559771284</v>
      </c>
      <c r="F91" s="9">
        <f t="shared" si="3"/>
        <v>44.944159267994593</v>
      </c>
      <c r="G91" s="7">
        <v>3</v>
      </c>
      <c r="H91" s="8">
        <v>0.41343076822738739</v>
      </c>
    </row>
    <row r="92" spans="1:8" x14ac:dyDescent="0.3">
      <c r="A92" s="7"/>
      <c r="B92" s="7"/>
      <c r="C92" s="7"/>
      <c r="D92" s="7"/>
      <c r="E92" s="7"/>
      <c r="F92" s="7"/>
      <c r="G92" s="7"/>
      <c r="H92" s="7"/>
    </row>
    <row r="93" spans="1:8" x14ac:dyDescent="0.3">
      <c r="A93" s="7"/>
      <c r="B93" s="7"/>
      <c r="C93" s="7"/>
      <c r="D93" s="7"/>
      <c r="E93" s="7"/>
      <c r="F93" s="7"/>
      <c r="G93" s="7"/>
      <c r="H93" s="7"/>
    </row>
    <row r="94" spans="1:8" x14ac:dyDescent="0.3">
      <c r="A94" s="4"/>
      <c r="B94" s="4"/>
      <c r="C94" s="4"/>
      <c r="D94" s="4"/>
      <c r="E94" s="4"/>
      <c r="F94" s="4"/>
      <c r="G94" s="4"/>
      <c r="H94" s="4"/>
    </row>
    <row r="95" spans="1:8" x14ac:dyDescent="0.3">
      <c r="A95" s="4"/>
      <c r="B95" s="4"/>
      <c r="C95" s="4"/>
      <c r="D95" s="4"/>
      <c r="E95" s="4"/>
      <c r="F95" s="4"/>
      <c r="G95" s="4"/>
      <c r="H95" s="4"/>
    </row>
    <row r="96" spans="1:8" x14ac:dyDescent="0.3">
      <c r="A96" s="4"/>
      <c r="B96" s="4"/>
      <c r="C96" s="4"/>
      <c r="D96" s="4"/>
      <c r="E96" s="4"/>
      <c r="F96" s="4"/>
      <c r="G96" s="4"/>
      <c r="H96" s="4"/>
    </row>
    <row r="97" spans="1:8" x14ac:dyDescent="0.3">
      <c r="A97" s="4"/>
      <c r="B97" s="4"/>
      <c r="C97" s="4"/>
      <c r="D97" s="4"/>
      <c r="E97" s="4"/>
      <c r="F97" s="4"/>
      <c r="G97" s="4"/>
      <c r="H97" s="4"/>
    </row>
    <row r="98" spans="1:8" x14ac:dyDescent="0.3">
      <c r="A98" s="4"/>
      <c r="B98" s="4"/>
      <c r="C98" s="4"/>
      <c r="D98" s="4"/>
      <c r="E98" s="4"/>
      <c r="F98" s="4"/>
      <c r="G98" s="4"/>
      <c r="H98" s="4"/>
    </row>
    <row r="99" spans="1:8" x14ac:dyDescent="0.3">
      <c r="A99" s="4"/>
      <c r="B99" s="4"/>
      <c r="C99" s="4"/>
      <c r="D99" s="4"/>
      <c r="E99" s="4"/>
      <c r="F99" s="4"/>
      <c r="G99" s="4"/>
      <c r="H99" s="4"/>
    </row>
    <row r="100" spans="1:8" x14ac:dyDescent="0.3">
      <c r="A100" s="4"/>
      <c r="B100" s="4"/>
      <c r="C100" s="4"/>
      <c r="D100" s="4"/>
      <c r="E100" s="4"/>
      <c r="F100" s="4"/>
      <c r="G100" s="4"/>
      <c r="H100" s="4"/>
    </row>
    <row r="101" spans="1:8" x14ac:dyDescent="0.3">
      <c r="A101" s="4"/>
      <c r="B101" s="4"/>
      <c r="C101" s="4"/>
      <c r="D101" s="4"/>
      <c r="E101" s="4"/>
      <c r="F101" s="4"/>
      <c r="G101" s="4"/>
      <c r="H101" s="4"/>
    </row>
    <row r="102" spans="1:8" x14ac:dyDescent="0.3">
      <c r="A102" s="4"/>
      <c r="B102" s="4"/>
      <c r="C102" s="4"/>
      <c r="D102" s="4"/>
      <c r="E102" s="4"/>
      <c r="F102" s="4"/>
      <c r="G102" s="4"/>
      <c r="H102" s="4"/>
    </row>
    <row r="103" spans="1:8" x14ac:dyDescent="0.3">
      <c r="A103" s="4"/>
      <c r="B103" s="4"/>
      <c r="C103" s="4"/>
      <c r="D103" s="4"/>
      <c r="E103" s="4"/>
      <c r="F103" s="4"/>
      <c r="G103" s="4"/>
      <c r="H103" s="4"/>
    </row>
    <row r="104" spans="1:8" x14ac:dyDescent="0.3">
      <c r="A104" s="4"/>
      <c r="B104" s="4"/>
      <c r="C104" s="4"/>
      <c r="D104" s="4"/>
      <c r="E104" s="4"/>
      <c r="F104" s="4"/>
      <c r="G104" s="4"/>
      <c r="H104" s="4"/>
    </row>
    <row r="105" spans="1:8" x14ac:dyDescent="0.3">
      <c r="A105" s="4"/>
      <c r="B105" s="4"/>
      <c r="C105" s="4"/>
      <c r="D105" s="4"/>
      <c r="E105" s="4"/>
      <c r="F105" s="4"/>
      <c r="G105" s="4"/>
      <c r="H105" s="4"/>
    </row>
    <row r="106" spans="1:8" x14ac:dyDescent="0.3">
      <c r="A106" s="4"/>
      <c r="B106" s="4"/>
      <c r="C106" s="4"/>
      <c r="D106" s="4"/>
      <c r="E106" s="4"/>
      <c r="F106" s="4"/>
      <c r="G106" s="4"/>
      <c r="H106" s="4"/>
    </row>
    <row r="107" spans="1:8" x14ac:dyDescent="0.3">
      <c r="A107" s="4"/>
      <c r="B107" s="4"/>
      <c r="C107" s="4"/>
      <c r="D107" s="4"/>
      <c r="E107" s="4"/>
      <c r="F107" s="4"/>
      <c r="G107" s="4"/>
      <c r="H107" s="4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0E1A-7F6B-4F51-BF52-36A2C4767069}">
  <dimension ref="A1:H91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0.69921875" customWidth="1"/>
    <col min="2" max="7" width="16.69921875" customWidth="1"/>
    <col min="8" max="8" width="22.69921875" customWidth="1"/>
  </cols>
  <sheetData>
    <row r="1" spans="1:8" x14ac:dyDescent="0.3">
      <c r="A1" s="18" t="s">
        <v>138</v>
      </c>
      <c r="B1" s="18"/>
      <c r="C1" s="18"/>
      <c r="D1" s="18"/>
      <c r="E1" s="18"/>
      <c r="F1" s="18"/>
      <c r="G1" s="18"/>
      <c r="H1" s="18"/>
    </row>
    <row r="2" spans="1:8" ht="72" customHeight="1" x14ac:dyDescent="0.3">
      <c r="A2" s="13"/>
      <c r="B2" s="13" t="s">
        <v>101</v>
      </c>
      <c r="C2" s="13" t="s">
        <v>102</v>
      </c>
      <c r="D2" s="13" t="s">
        <v>4</v>
      </c>
      <c r="E2" s="13" t="s">
        <v>5</v>
      </c>
      <c r="F2" s="13" t="s">
        <v>7</v>
      </c>
      <c r="G2" s="13" t="s">
        <v>6</v>
      </c>
      <c r="H2" s="13" t="s">
        <v>11</v>
      </c>
    </row>
    <row r="3" spans="1:8" s="1" customFormat="1" x14ac:dyDescent="0.3">
      <c r="A3" s="5" t="s">
        <v>2</v>
      </c>
      <c r="B3" s="5" t="s">
        <v>1</v>
      </c>
      <c r="C3" s="5" t="s">
        <v>0</v>
      </c>
      <c r="D3" s="5" t="s">
        <v>10</v>
      </c>
      <c r="E3" s="5" t="s">
        <v>9</v>
      </c>
      <c r="F3" s="6" t="s">
        <v>8</v>
      </c>
      <c r="G3" s="6" t="s">
        <v>3</v>
      </c>
      <c r="H3" s="5" t="s">
        <v>12</v>
      </c>
    </row>
    <row r="4" spans="1:8" x14ac:dyDescent="0.3">
      <c r="A4" s="7" t="s">
        <v>13</v>
      </c>
      <c r="B4" s="11">
        <v>7.1865217391304345E-2</v>
      </c>
      <c r="C4" s="11">
        <v>0.1183</v>
      </c>
      <c r="D4" s="11">
        <v>2.3240446042880376</v>
      </c>
      <c r="E4" s="11">
        <v>1.5450668779289378</v>
      </c>
      <c r="F4" s="12">
        <f>E4/D4*100</f>
        <v>66.481808269865937</v>
      </c>
      <c r="G4" s="4">
        <v>1</v>
      </c>
      <c r="H4" s="11">
        <v>0.4315045465115428</v>
      </c>
    </row>
    <row r="5" spans="1:8" x14ac:dyDescent="0.3">
      <c r="A5" s="7" t="s">
        <v>14</v>
      </c>
      <c r="B5" s="11">
        <v>0.11167826086956521</v>
      </c>
      <c r="C5" s="11">
        <v>0.1527</v>
      </c>
      <c r="D5" s="11">
        <v>5.0819100084781041</v>
      </c>
      <c r="E5" s="11">
        <v>3.5302116550731064</v>
      </c>
      <c r="F5" s="12">
        <f t="shared" ref="F5:F12" si="0">E5/D5*100</f>
        <v>69.466237087702979</v>
      </c>
      <c r="G5" s="4">
        <v>1</v>
      </c>
      <c r="H5" s="11">
        <v>0.52256725682748151</v>
      </c>
    </row>
    <row r="6" spans="1:8" x14ac:dyDescent="0.3">
      <c r="A6" s="7" t="s">
        <v>15</v>
      </c>
      <c r="B6" s="11">
        <v>0.1358</v>
      </c>
      <c r="C6" s="11">
        <v>0.17093043478260869</v>
      </c>
      <c r="D6" s="11">
        <v>7.2101239404090602</v>
      </c>
      <c r="E6" s="11">
        <v>5.0614765281856844</v>
      </c>
      <c r="F6" s="12">
        <f t="shared" si="0"/>
        <v>70.199577289076757</v>
      </c>
      <c r="G6" s="4">
        <v>1</v>
      </c>
      <c r="H6" s="11">
        <v>0.59895885585239295</v>
      </c>
    </row>
    <row r="7" spans="1:8" x14ac:dyDescent="0.3">
      <c r="A7" s="7" t="s">
        <v>16</v>
      </c>
      <c r="B7" s="11">
        <v>0.15152608695652173</v>
      </c>
      <c r="C7" s="11">
        <v>0.18276521739130433</v>
      </c>
      <c r="D7" s="11">
        <v>8.7790540968334874</v>
      </c>
      <c r="E7" s="11">
        <v>6.1624337870580783</v>
      </c>
      <c r="F7" s="12">
        <f t="shared" si="0"/>
        <v>70.194735322120906</v>
      </c>
      <c r="G7" s="4">
        <v>1</v>
      </c>
      <c r="H7" s="11">
        <v>0.60547595564518664</v>
      </c>
    </row>
    <row r="8" spans="1:8" x14ac:dyDescent="0.3">
      <c r="A8" s="7" t="s">
        <v>17</v>
      </c>
      <c r="B8" s="11">
        <v>0.16744782608695652</v>
      </c>
      <c r="C8" s="11">
        <v>0.19413913043478259</v>
      </c>
      <c r="D8" s="11">
        <v>10.517927864606254</v>
      </c>
      <c r="E8" s="11">
        <v>7.3811286844797497</v>
      </c>
      <c r="F8" s="12">
        <f t="shared" si="0"/>
        <v>70.176642961375435</v>
      </c>
      <c r="G8" s="4">
        <v>1</v>
      </c>
      <c r="H8" s="11">
        <v>0.59149826921161364</v>
      </c>
    </row>
    <row r="9" spans="1:8" x14ac:dyDescent="0.3">
      <c r="A9" s="7" t="s">
        <v>18</v>
      </c>
      <c r="B9" s="11">
        <v>0.20552173913043478</v>
      </c>
      <c r="C9" s="11">
        <v>0.22023478260869564</v>
      </c>
      <c r="D9" s="11">
        <v>15.365807130893064</v>
      </c>
      <c r="E9" s="11">
        <v>10.785650913052464</v>
      </c>
      <c r="F9" s="12">
        <f t="shared" si="0"/>
        <v>70.192543881198645</v>
      </c>
      <c r="G9" s="4">
        <v>1</v>
      </c>
      <c r="H9" s="11">
        <v>0.67210653550498645</v>
      </c>
    </row>
    <row r="10" spans="1:8" x14ac:dyDescent="0.3">
      <c r="A10" s="7" t="s">
        <v>19</v>
      </c>
      <c r="B10" s="11">
        <v>0.22655217391304347</v>
      </c>
      <c r="C10" s="11">
        <v>0.23447826086956519</v>
      </c>
      <c r="D10" s="11">
        <v>18.403289968327947</v>
      </c>
      <c r="E10" s="11">
        <v>12.868807003612702</v>
      </c>
      <c r="F10" s="12">
        <f t="shared" si="0"/>
        <v>69.926665426453155</v>
      </c>
      <c r="G10" s="4">
        <v>1</v>
      </c>
      <c r="H10" s="11">
        <v>0.67005118945553854</v>
      </c>
    </row>
    <row r="11" spans="1:8" x14ac:dyDescent="0.3">
      <c r="A11" s="7" t="s">
        <v>20</v>
      </c>
      <c r="B11" s="11">
        <v>0.25960869565217387</v>
      </c>
      <c r="C11" s="11">
        <v>0.25733478260869563</v>
      </c>
      <c r="D11" s="11">
        <v>23.929345940577175</v>
      </c>
      <c r="E11" s="11">
        <v>16.593638856174557</v>
      </c>
      <c r="F11" s="12">
        <f t="shared" si="0"/>
        <v>69.344305930387335</v>
      </c>
      <c r="G11" s="4">
        <v>1</v>
      </c>
      <c r="H11" s="11">
        <v>0.75820384937721652</v>
      </c>
    </row>
    <row r="12" spans="1:8" x14ac:dyDescent="0.3">
      <c r="A12" s="7" t="s">
        <v>21</v>
      </c>
      <c r="B12" s="11">
        <v>0.29912608695652171</v>
      </c>
      <c r="C12" s="11">
        <v>0.28950869565217385</v>
      </c>
      <c r="D12" s="11">
        <v>32.504119313598778</v>
      </c>
      <c r="E12" s="11">
        <v>22.211404533801478</v>
      </c>
      <c r="F12" s="12">
        <f t="shared" si="0"/>
        <v>68.334121960070675</v>
      </c>
      <c r="G12" s="4">
        <v>1</v>
      </c>
      <c r="H12" s="11">
        <v>0.82394707625949648</v>
      </c>
    </row>
    <row r="13" spans="1:8" x14ac:dyDescent="0.3">
      <c r="A13" s="7" t="s">
        <v>22</v>
      </c>
      <c r="B13" s="11"/>
      <c r="C13" s="11"/>
      <c r="D13" s="11"/>
      <c r="E13" s="11"/>
      <c r="F13" s="12"/>
      <c r="G13" s="4"/>
      <c r="H13" s="4"/>
    </row>
    <row r="14" spans="1:8" x14ac:dyDescent="0.3">
      <c r="A14" s="7" t="s">
        <v>23</v>
      </c>
      <c r="B14" s="11"/>
      <c r="C14" s="11"/>
      <c r="D14" s="11"/>
      <c r="E14" s="11"/>
      <c r="F14" s="12"/>
      <c r="G14" s="4"/>
      <c r="H14" s="4"/>
    </row>
    <row r="15" spans="1:8" x14ac:dyDescent="0.3">
      <c r="A15" s="7" t="s">
        <v>24</v>
      </c>
      <c r="B15" s="11"/>
      <c r="C15" s="11"/>
      <c r="D15" s="11"/>
      <c r="E15" s="11"/>
      <c r="F15" s="12"/>
      <c r="G15" s="4"/>
      <c r="H15" s="4"/>
    </row>
    <row r="16" spans="1:8" x14ac:dyDescent="0.3">
      <c r="A16" s="7" t="s">
        <v>25</v>
      </c>
      <c r="B16" s="11"/>
      <c r="C16" s="11"/>
      <c r="D16" s="11"/>
      <c r="E16" s="11"/>
      <c r="F16" s="12"/>
      <c r="G16" s="4"/>
      <c r="H16" s="4"/>
    </row>
    <row r="17" spans="1:8" x14ac:dyDescent="0.3">
      <c r="A17" s="7" t="s">
        <v>26</v>
      </c>
      <c r="B17" s="11">
        <v>1.3282608695652173E-2</v>
      </c>
      <c r="C17" s="11">
        <v>4.4960869565217387E-2</v>
      </c>
      <c r="D17" s="11">
        <v>0.18243334514695103</v>
      </c>
      <c r="E17" s="11">
        <v>5.8488101696289568E-2</v>
      </c>
      <c r="F17" s="12">
        <f t="shared" ref="F17:F28" si="1">E17/D17*100</f>
        <v>32.059984236531477</v>
      </c>
      <c r="G17" s="4">
        <v>1</v>
      </c>
      <c r="H17" s="11">
        <v>0.21396178598203278</v>
      </c>
    </row>
    <row r="18" spans="1:8" x14ac:dyDescent="0.3">
      <c r="A18" s="7" t="s">
        <v>27</v>
      </c>
      <c r="B18" s="11">
        <v>2.9856521739130434E-2</v>
      </c>
      <c r="C18" s="11">
        <v>8.251739130434782E-2</v>
      </c>
      <c r="D18" s="11">
        <v>0.94680669761181102</v>
      </c>
      <c r="E18" s="11">
        <v>0.43009718863438307</v>
      </c>
      <c r="F18" s="12">
        <f t="shared" si="1"/>
        <v>45.426082189663816</v>
      </c>
      <c r="G18" s="4">
        <v>1</v>
      </c>
      <c r="H18" s="11">
        <v>0.33357577726504761</v>
      </c>
    </row>
    <row r="19" spans="1:8" x14ac:dyDescent="0.3">
      <c r="A19" s="7" t="s">
        <v>28</v>
      </c>
      <c r="B19" s="11">
        <v>4.2291304347826082E-2</v>
      </c>
      <c r="C19" s="11">
        <v>0.1025695652173913</v>
      </c>
      <c r="D19" s="11">
        <v>1.8756669400133972</v>
      </c>
      <c r="E19" s="11">
        <v>0.95749466417145912</v>
      </c>
      <c r="F19" s="12">
        <f t="shared" si="1"/>
        <v>51.048224167379111</v>
      </c>
      <c r="G19" s="4">
        <v>1</v>
      </c>
      <c r="H19" s="11">
        <v>0.38931614394463865</v>
      </c>
    </row>
    <row r="20" spans="1:8" x14ac:dyDescent="0.3">
      <c r="A20" s="7" t="s">
        <v>29</v>
      </c>
      <c r="B20" s="11">
        <v>5.4999999999999993E-2</v>
      </c>
      <c r="C20" s="11">
        <v>0.12033478260869565</v>
      </c>
      <c r="D20" s="11">
        <v>2.8579370222413529</v>
      </c>
      <c r="E20" s="11">
        <v>1.5196229498714116</v>
      </c>
      <c r="F20" s="12">
        <f t="shared" si="1"/>
        <v>53.172023667604783</v>
      </c>
      <c r="G20" s="4">
        <v>1</v>
      </c>
      <c r="H20" s="11">
        <v>0.46243999502680083</v>
      </c>
    </row>
    <row r="21" spans="1:8" x14ac:dyDescent="0.3">
      <c r="A21" s="7" t="s">
        <v>30</v>
      </c>
      <c r="B21" s="11">
        <v>6.7743478260869558E-2</v>
      </c>
      <c r="C21" s="11">
        <v>0.13584347826086957</v>
      </c>
      <c r="D21" s="11">
        <v>3.864406445124815</v>
      </c>
      <c r="E21" s="11">
        <v>2.146513183164704</v>
      </c>
      <c r="F21" s="12">
        <f t="shared" si="1"/>
        <v>55.545740688655087</v>
      </c>
      <c r="G21" s="4">
        <v>1</v>
      </c>
      <c r="H21" s="11">
        <v>0.4833346130426826</v>
      </c>
    </row>
    <row r="22" spans="1:8" x14ac:dyDescent="0.3">
      <c r="A22" s="7" t="s">
        <v>31</v>
      </c>
      <c r="B22" s="11">
        <v>9.0582608695652156E-2</v>
      </c>
      <c r="C22" s="11">
        <v>0.15972173913043478</v>
      </c>
      <c r="D22" s="11">
        <v>5.8199374391872096</v>
      </c>
      <c r="E22" s="11">
        <v>3.429035323826199</v>
      </c>
      <c r="F22" s="12">
        <f t="shared" si="1"/>
        <v>58.918766046136142</v>
      </c>
      <c r="G22" s="4">
        <v>1</v>
      </c>
      <c r="H22" s="11">
        <v>0.56330722011659817</v>
      </c>
    </row>
    <row r="23" spans="1:8" x14ac:dyDescent="0.3">
      <c r="A23" s="7" t="s">
        <v>32</v>
      </c>
      <c r="B23" s="11">
        <v>9.947391304347826E-2</v>
      </c>
      <c r="C23" s="11">
        <v>0.16750869565217391</v>
      </c>
      <c r="D23" s="11">
        <v>6.4646226318539277</v>
      </c>
      <c r="E23" s="11">
        <v>3.8187979634826843</v>
      </c>
      <c r="F23" s="12">
        <f t="shared" si="1"/>
        <v>59.07224877544828</v>
      </c>
      <c r="G23" s="4">
        <v>1</v>
      </c>
      <c r="H23" s="11">
        <v>0.56050398277211722</v>
      </c>
    </row>
    <row r="24" spans="1:8" x14ac:dyDescent="0.3">
      <c r="A24" s="7" t="s">
        <v>33</v>
      </c>
      <c r="B24" s="11">
        <v>0.11443043478260868</v>
      </c>
      <c r="C24" s="11">
        <v>0.17958260869565218</v>
      </c>
      <c r="D24" s="11">
        <v>7.4792198761648079</v>
      </c>
      <c r="E24" s="11">
        <v>4.602583681946391</v>
      </c>
      <c r="F24" s="12">
        <f t="shared" si="1"/>
        <v>61.538285518442372</v>
      </c>
      <c r="G24" s="4">
        <v>1</v>
      </c>
      <c r="H24" s="11">
        <v>0.60592685043636896</v>
      </c>
    </row>
    <row r="25" spans="1:8" x14ac:dyDescent="0.3">
      <c r="A25" s="7" t="s">
        <v>34</v>
      </c>
      <c r="B25" s="11">
        <v>0.1640695652173913</v>
      </c>
      <c r="C25" s="11">
        <v>0.20814782608695651</v>
      </c>
      <c r="D25" s="11">
        <v>11.312068954596029</v>
      </c>
      <c r="E25" s="11">
        <v>7.4129417330640459</v>
      </c>
      <c r="F25" s="12">
        <f t="shared" si="1"/>
        <v>65.531263669076296</v>
      </c>
      <c r="G25" s="4">
        <v>1</v>
      </c>
      <c r="H25" s="11">
        <v>0.61452281270364939</v>
      </c>
    </row>
    <row r="26" spans="1:8" x14ac:dyDescent="0.3">
      <c r="A26" s="7" t="s">
        <v>35</v>
      </c>
      <c r="B26" s="11">
        <v>0.20552173913043478</v>
      </c>
      <c r="C26" s="11">
        <v>0.22023478260869564</v>
      </c>
      <c r="D26" s="11">
        <v>15.365807130893064</v>
      </c>
      <c r="E26" s="11">
        <v>10.785650913052464</v>
      </c>
      <c r="F26" s="12">
        <f t="shared" si="1"/>
        <v>70.192543881198645</v>
      </c>
      <c r="G26" s="4">
        <v>1</v>
      </c>
      <c r="H26" s="11">
        <v>0.67210653550498645</v>
      </c>
    </row>
    <row r="27" spans="1:8" x14ac:dyDescent="0.3">
      <c r="A27" s="7" t="s">
        <v>36</v>
      </c>
      <c r="B27" s="11">
        <v>0.24717826086956521</v>
      </c>
      <c r="C27" s="11">
        <v>0.22586086956521739</v>
      </c>
      <c r="D27" s="11">
        <v>20.709022384624127</v>
      </c>
      <c r="E27" s="11">
        <v>15.242051426395339</v>
      </c>
      <c r="F27" s="12">
        <f t="shared" si="1"/>
        <v>73.601018644473228</v>
      </c>
      <c r="G27" s="4">
        <v>1</v>
      </c>
      <c r="H27" s="11">
        <v>0.66986097879810791</v>
      </c>
    </row>
    <row r="28" spans="1:8" x14ac:dyDescent="0.3">
      <c r="A28" s="7" t="s">
        <v>37</v>
      </c>
      <c r="B28" s="11">
        <v>0.27859130434782603</v>
      </c>
      <c r="C28" s="11">
        <v>0.21999565217391304</v>
      </c>
      <c r="D28" s="11">
        <v>27.135401720597102</v>
      </c>
      <c r="E28" s="11">
        <v>19.969531328201896</v>
      </c>
      <c r="F28" s="12">
        <f t="shared" si="1"/>
        <v>73.592171340673545</v>
      </c>
      <c r="G28" s="4">
        <v>1</v>
      </c>
      <c r="H28" s="11">
        <v>0.60246253791684046</v>
      </c>
    </row>
    <row r="29" spans="1:8" x14ac:dyDescent="0.3">
      <c r="A29" s="7" t="s">
        <v>38</v>
      </c>
      <c r="B29" s="11"/>
      <c r="C29" s="11"/>
      <c r="D29" s="11"/>
      <c r="E29" s="11"/>
      <c r="F29" s="12"/>
      <c r="G29" s="4"/>
      <c r="H29" s="4"/>
    </row>
    <row r="30" spans="1:8" x14ac:dyDescent="0.3">
      <c r="A30" s="7" t="s">
        <v>39</v>
      </c>
      <c r="B30" s="11"/>
      <c r="C30" s="11"/>
      <c r="D30" s="11"/>
      <c r="E30" s="11"/>
      <c r="F30" s="12"/>
      <c r="G30" s="4"/>
      <c r="H30" s="4"/>
    </row>
    <row r="31" spans="1:8" x14ac:dyDescent="0.3">
      <c r="A31" s="7" t="s">
        <v>40</v>
      </c>
      <c r="B31" s="11"/>
      <c r="C31" s="11"/>
      <c r="D31" s="11"/>
      <c r="E31" s="11"/>
      <c r="F31" s="12"/>
      <c r="G31" s="4"/>
      <c r="H31" s="4"/>
    </row>
    <row r="32" spans="1:8" x14ac:dyDescent="0.3">
      <c r="A32" s="7" t="s">
        <v>41</v>
      </c>
      <c r="B32" s="11"/>
      <c r="C32" s="11"/>
      <c r="D32" s="11"/>
      <c r="E32" s="11"/>
      <c r="F32" s="12"/>
      <c r="G32" s="4"/>
      <c r="H32" s="4"/>
    </row>
    <row r="33" spans="1:8" x14ac:dyDescent="0.3">
      <c r="A33" s="7" t="s">
        <v>42</v>
      </c>
      <c r="B33" s="11">
        <v>0.12902173913043477</v>
      </c>
      <c r="C33" s="11">
        <v>5.350434782608695E-2</v>
      </c>
      <c r="D33" s="11">
        <v>31.652238513791854</v>
      </c>
      <c r="E33" s="11">
        <v>25.337124311251145</v>
      </c>
      <c r="F33" s="12">
        <f t="shared" ref="F33:F47" si="2">E33/D33*100</f>
        <v>80.048443651816228</v>
      </c>
      <c r="G33" s="4">
        <v>3</v>
      </c>
      <c r="H33" s="11">
        <v>0.57889815036144121</v>
      </c>
    </row>
    <row r="34" spans="1:8" x14ac:dyDescent="0.3">
      <c r="A34" s="7" t="s">
        <v>43</v>
      </c>
      <c r="B34" s="11">
        <v>0.11928695652173912</v>
      </c>
      <c r="C34" s="11">
        <v>5.1243478260869564E-2</v>
      </c>
      <c r="D34" s="11">
        <v>28.938792285031546</v>
      </c>
      <c r="E34" s="11">
        <v>23.269507755754422</v>
      </c>
      <c r="F34" s="12">
        <f t="shared" si="2"/>
        <v>80.409394858507838</v>
      </c>
      <c r="G34" s="4">
        <v>3</v>
      </c>
      <c r="H34" s="11">
        <v>0.53284912400565543</v>
      </c>
    </row>
    <row r="35" spans="1:8" x14ac:dyDescent="0.3">
      <c r="A35" s="7" t="s">
        <v>44</v>
      </c>
      <c r="B35" s="11">
        <v>0.10994782608695652</v>
      </c>
      <c r="C35" s="11">
        <v>5.0439130434782604E-2</v>
      </c>
      <c r="D35" s="11">
        <v>24.42764713034736</v>
      </c>
      <c r="E35" s="11">
        <v>19.895111424008107</v>
      </c>
      <c r="F35" s="12">
        <f t="shared" si="2"/>
        <v>81.445058207393544</v>
      </c>
      <c r="G35" s="4">
        <v>3</v>
      </c>
      <c r="H35" s="11">
        <v>0.45004667958601041</v>
      </c>
    </row>
    <row r="36" spans="1:8" x14ac:dyDescent="0.3">
      <c r="A36" s="7" t="s">
        <v>45</v>
      </c>
      <c r="B36" s="11">
        <v>9.6369565217391304E-2</v>
      </c>
      <c r="C36" s="11">
        <v>4.5886956521739124E-2</v>
      </c>
      <c r="D36" s="11">
        <v>18.968746259538555</v>
      </c>
      <c r="E36" s="11">
        <v>15.564802169712653</v>
      </c>
      <c r="F36" s="12">
        <f t="shared" si="2"/>
        <v>82.054986432673658</v>
      </c>
      <c r="G36" s="4">
        <v>3</v>
      </c>
      <c r="H36" s="11">
        <v>0.43607678302995245</v>
      </c>
    </row>
    <row r="37" spans="1:8" x14ac:dyDescent="0.3">
      <c r="A37" s="7" t="s">
        <v>46</v>
      </c>
      <c r="B37" s="11">
        <v>0.13163043478260869</v>
      </c>
      <c r="C37" s="11">
        <v>2.5717391304347824E-2</v>
      </c>
      <c r="D37" s="11">
        <v>19.633530969369815</v>
      </c>
      <c r="E37" s="11">
        <v>17.606043908211714</v>
      </c>
      <c r="F37" s="12">
        <f t="shared" si="2"/>
        <v>89.673344726828944</v>
      </c>
      <c r="G37" s="4">
        <v>1</v>
      </c>
      <c r="H37" s="11">
        <v>0.21069768426342786</v>
      </c>
    </row>
    <row r="38" spans="1:8" x14ac:dyDescent="0.3">
      <c r="A38" s="7" t="s">
        <v>47</v>
      </c>
      <c r="B38" s="11">
        <v>0.13671739130434782</v>
      </c>
      <c r="C38" s="11">
        <v>4.0621739130434785E-2</v>
      </c>
      <c r="D38" s="11">
        <v>14.866538343194716</v>
      </c>
      <c r="E38" s="11">
        <v>12.446609427983162</v>
      </c>
      <c r="F38" s="12">
        <f t="shared" si="2"/>
        <v>83.722310740083643</v>
      </c>
      <c r="G38" s="4">
        <v>1</v>
      </c>
      <c r="H38" s="11">
        <v>0.30252563946112576</v>
      </c>
    </row>
    <row r="39" spans="1:8" x14ac:dyDescent="0.3">
      <c r="A39" s="7" t="s">
        <v>48</v>
      </c>
      <c r="B39" s="11">
        <v>0.14840434782608694</v>
      </c>
      <c r="C39" s="11">
        <v>9.0991304347826082E-2</v>
      </c>
      <c r="D39" s="11">
        <v>12.657099024240184</v>
      </c>
      <c r="E39" s="11">
        <v>10.760954405027922</v>
      </c>
      <c r="F39" s="12">
        <f t="shared" si="2"/>
        <v>85.019121557152474</v>
      </c>
      <c r="G39" s="4">
        <v>1</v>
      </c>
      <c r="H39" s="11">
        <v>0.37560105239627578</v>
      </c>
    </row>
    <row r="40" spans="1:8" x14ac:dyDescent="0.3">
      <c r="A40" s="7" t="s">
        <v>49</v>
      </c>
      <c r="B40" s="11">
        <v>0.16446521739130435</v>
      </c>
      <c r="C40" s="11">
        <v>0.13895217391304349</v>
      </c>
      <c r="D40" s="11">
        <v>12.188045097572655</v>
      </c>
      <c r="E40" s="11">
        <v>10.021175378802438</v>
      </c>
      <c r="F40" s="12">
        <f t="shared" si="2"/>
        <v>82.221351320715357</v>
      </c>
      <c r="G40" s="4">
        <v>1</v>
      </c>
      <c r="H40" s="11">
        <v>0.49467610295626852</v>
      </c>
    </row>
    <row r="41" spans="1:8" x14ac:dyDescent="0.3">
      <c r="A41" s="7" t="s">
        <v>50</v>
      </c>
      <c r="B41" s="11">
        <v>0.18364782608695651</v>
      </c>
      <c r="C41" s="11">
        <v>0.18263043478260868</v>
      </c>
      <c r="D41" s="11">
        <v>13.079943299833262</v>
      </c>
      <c r="E41" s="11">
        <v>9.9549837618099684</v>
      </c>
      <c r="F41" s="12">
        <f t="shared" si="2"/>
        <v>76.108768467955585</v>
      </c>
      <c r="G41" s="4">
        <v>1</v>
      </c>
      <c r="H41" s="11">
        <v>0.55443943301998244</v>
      </c>
    </row>
    <row r="42" spans="1:8" x14ac:dyDescent="0.3">
      <c r="A42" s="7" t="s">
        <v>51</v>
      </c>
      <c r="B42" s="11">
        <v>0.20552608695652172</v>
      </c>
      <c r="C42" s="11">
        <v>0.22023478260869564</v>
      </c>
      <c r="D42" s="11">
        <v>15.365798512034534</v>
      </c>
      <c r="E42" s="11">
        <v>10.785820606189329</v>
      </c>
      <c r="F42" s="12">
        <f t="shared" si="2"/>
        <v>70.193687609152533</v>
      </c>
      <c r="G42" s="4">
        <v>1</v>
      </c>
      <c r="H42" s="11">
        <v>0.67348419566004036</v>
      </c>
    </row>
    <row r="43" spans="1:8" x14ac:dyDescent="0.3">
      <c r="A43" s="7" t="s">
        <v>52</v>
      </c>
      <c r="B43" s="11">
        <v>0.23240434782608696</v>
      </c>
      <c r="C43" s="11">
        <v>0.25319999999999998</v>
      </c>
      <c r="D43" s="11">
        <v>19.118842835631668</v>
      </c>
      <c r="E43" s="11">
        <v>12.526147596227739</v>
      </c>
      <c r="F43" s="12">
        <f t="shared" si="2"/>
        <v>65.517289429686798</v>
      </c>
      <c r="G43" s="4">
        <v>1</v>
      </c>
      <c r="H43" s="11">
        <v>0.7590480008364916</v>
      </c>
    </row>
    <row r="44" spans="1:8" x14ac:dyDescent="0.3">
      <c r="A44" s="7" t="s">
        <v>53</v>
      </c>
      <c r="B44" s="11">
        <v>0.26196521739130435</v>
      </c>
      <c r="C44" s="11">
        <v>0.28826956521739128</v>
      </c>
      <c r="D44" s="11">
        <v>24.255102712982548</v>
      </c>
      <c r="E44" s="11">
        <v>15.240942740937907</v>
      </c>
      <c r="F44" s="12">
        <f t="shared" si="2"/>
        <v>62.836026387058709</v>
      </c>
      <c r="G44" s="4">
        <v>1</v>
      </c>
      <c r="H44" s="11">
        <v>0.78024834839617274</v>
      </c>
    </row>
    <row r="45" spans="1:8" x14ac:dyDescent="0.3">
      <c r="A45" s="7" t="s">
        <v>54</v>
      </c>
      <c r="B45" s="11">
        <v>0.32955652173913041</v>
      </c>
      <c r="C45" s="11">
        <v>0.34090869565217391</v>
      </c>
      <c r="D45" s="11">
        <v>38.634928075737371</v>
      </c>
      <c r="E45" s="11">
        <v>23.216629583129539</v>
      </c>
      <c r="F45" s="12">
        <f t="shared" si="2"/>
        <v>60.092332869410768</v>
      </c>
      <c r="G45" s="4">
        <v>2</v>
      </c>
      <c r="H45" s="11">
        <v>0.79970440527688635</v>
      </c>
    </row>
    <row r="46" spans="1:8" x14ac:dyDescent="0.3">
      <c r="A46" s="7" t="s">
        <v>55</v>
      </c>
      <c r="B46" s="11">
        <v>0.36659565217391304</v>
      </c>
      <c r="C46" s="11">
        <v>0.36475217391304343</v>
      </c>
      <c r="D46" s="11">
        <v>47.726200220522003</v>
      </c>
      <c r="E46" s="11">
        <v>28.317098679745172</v>
      </c>
      <c r="F46" s="12">
        <f t="shared" si="2"/>
        <v>59.332397192536135</v>
      </c>
      <c r="G46" s="4">
        <v>2</v>
      </c>
      <c r="H46" s="11">
        <v>0.88986994928309671</v>
      </c>
    </row>
    <row r="47" spans="1:8" x14ac:dyDescent="0.3">
      <c r="A47" s="7" t="s">
        <v>56</v>
      </c>
      <c r="B47" s="11">
        <v>0.40473043478260867</v>
      </c>
      <c r="C47" s="11">
        <v>0.38804347826086955</v>
      </c>
      <c r="D47" s="11">
        <v>58.05144381010345</v>
      </c>
      <c r="E47" s="11">
        <v>34.099216816585923</v>
      </c>
      <c r="F47" s="12">
        <f t="shared" si="2"/>
        <v>58.739653277411151</v>
      </c>
      <c r="G47" s="4">
        <v>2</v>
      </c>
      <c r="H47" s="11">
        <v>0.9368617680641711</v>
      </c>
    </row>
    <row r="48" spans="1:8" x14ac:dyDescent="0.3">
      <c r="A48" s="7" t="s">
        <v>57</v>
      </c>
      <c r="B48" s="11"/>
      <c r="C48" s="11"/>
      <c r="D48" s="11"/>
      <c r="E48" s="11"/>
      <c r="F48" s="12"/>
      <c r="G48" s="4"/>
      <c r="H48" s="4"/>
    </row>
    <row r="49" spans="1:8" x14ac:dyDescent="0.3">
      <c r="A49" s="7" t="s">
        <v>58</v>
      </c>
      <c r="B49" s="11"/>
      <c r="C49" s="11"/>
      <c r="D49" s="11"/>
      <c r="E49" s="11"/>
      <c r="F49" s="12"/>
      <c r="G49" s="4"/>
      <c r="H49" s="4"/>
    </row>
    <row r="50" spans="1:8" x14ac:dyDescent="0.3">
      <c r="A50" s="7" t="s">
        <v>59</v>
      </c>
      <c r="B50" s="11"/>
      <c r="C50" s="11"/>
      <c r="D50" s="11"/>
      <c r="E50" s="11"/>
      <c r="F50" s="12"/>
      <c r="G50" s="4"/>
      <c r="H50" s="4"/>
    </row>
    <row r="51" spans="1:8" x14ac:dyDescent="0.3">
      <c r="A51" s="7" t="s">
        <v>60</v>
      </c>
      <c r="B51" s="11"/>
      <c r="C51" s="11"/>
      <c r="D51" s="11"/>
      <c r="E51" s="11"/>
      <c r="F51" s="12"/>
      <c r="G51" s="4"/>
      <c r="H51" s="4"/>
    </row>
    <row r="52" spans="1:8" x14ac:dyDescent="0.3">
      <c r="A52" s="7" t="s">
        <v>61</v>
      </c>
      <c r="B52" s="11"/>
      <c r="C52" s="11"/>
      <c r="D52" s="11"/>
      <c r="E52" s="11"/>
      <c r="F52" s="12"/>
      <c r="G52" s="4"/>
      <c r="H52" s="4"/>
    </row>
    <row r="53" spans="1:8" x14ac:dyDescent="0.3">
      <c r="A53" s="7" t="s">
        <v>62</v>
      </c>
      <c r="B53" s="11"/>
      <c r="C53" s="11"/>
      <c r="D53" s="11"/>
      <c r="E53" s="11"/>
      <c r="F53" s="12"/>
      <c r="G53" s="4"/>
      <c r="H53" s="4"/>
    </row>
    <row r="54" spans="1:8" x14ac:dyDescent="0.3">
      <c r="A54" s="7" t="s">
        <v>63</v>
      </c>
      <c r="B54" s="11"/>
      <c r="C54" s="11"/>
      <c r="D54" s="11"/>
      <c r="E54" s="11"/>
      <c r="F54" s="12"/>
      <c r="G54" s="4"/>
      <c r="H54" s="4"/>
    </row>
    <row r="55" spans="1:8" x14ac:dyDescent="0.3">
      <c r="A55" s="7" t="s">
        <v>64</v>
      </c>
      <c r="B55" s="11"/>
      <c r="C55" s="11"/>
      <c r="D55" s="11"/>
      <c r="E55" s="11"/>
      <c r="F55" s="12"/>
      <c r="G55" s="4"/>
      <c r="H55" s="4"/>
    </row>
    <row r="56" spans="1:8" x14ac:dyDescent="0.3">
      <c r="A56" s="7" t="s">
        <v>65</v>
      </c>
      <c r="B56" s="11"/>
      <c r="C56" s="11"/>
      <c r="D56" s="11"/>
      <c r="E56" s="11"/>
      <c r="F56" s="12"/>
      <c r="G56" s="4"/>
      <c r="H56" s="4"/>
    </row>
    <row r="57" spans="1:8" x14ac:dyDescent="0.3">
      <c r="A57" s="7" t="s">
        <v>66</v>
      </c>
      <c r="B57" s="11"/>
      <c r="C57" s="11"/>
      <c r="D57" s="11"/>
      <c r="E57" s="11"/>
      <c r="F57" s="12"/>
      <c r="G57" s="4"/>
      <c r="H57" s="4"/>
    </row>
    <row r="58" spans="1:8" x14ac:dyDescent="0.3">
      <c r="A58" s="7" t="s">
        <v>67</v>
      </c>
      <c r="B58" s="11"/>
      <c r="C58" s="11"/>
      <c r="D58" s="11"/>
      <c r="E58" s="11"/>
      <c r="F58" s="12"/>
      <c r="G58" s="4"/>
      <c r="H58" s="4"/>
    </row>
    <row r="59" spans="1:8" x14ac:dyDescent="0.3">
      <c r="A59" s="7" t="s">
        <v>68</v>
      </c>
      <c r="B59" s="11"/>
      <c r="C59" s="11"/>
      <c r="D59" s="11"/>
      <c r="E59" s="11"/>
      <c r="F59" s="12"/>
      <c r="G59" s="4"/>
      <c r="H59" s="4"/>
    </row>
    <row r="60" spans="1:8" x14ac:dyDescent="0.3">
      <c r="A60" s="7" t="s">
        <v>69</v>
      </c>
      <c r="B60" s="11"/>
      <c r="C60" s="11"/>
      <c r="D60" s="11"/>
      <c r="E60" s="11"/>
      <c r="F60" s="12"/>
      <c r="G60" s="4"/>
      <c r="H60" s="4"/>
    </row>
    <row r="61" spans="1:8" x14ac:dyDescent="0.3">
      <c r="A61" s="7" t="s">
        <v>70</v>
      </c>
      <c r="B61" s="11"/>
      <c r="C61" s="11"/>
      <c r="D61" s="11"/>
      <c r="E61" s="11"/>
      <c r="F61" s="12"/>
      <c r="G61" s="4"/>
      <c r="H61" s="4"/>
    </row>
    <row r="62" spans="1:8" x14ac:dyDescent="0.3">
      <c r="A62" s="7" t="s">
        <v>71</v>
      </c>
      <c r="B62" s="11"/>
      <c r="C62" s="11"/>
      <c r="D62" s="11"/>
      <c r="E62" s="11"/>
      <c r="F62" s="12"/>
      <c r="G62" s="4"/>
      <c r="H62" s="4"/>
    </row>
    <row r="63" spans="1:8" x14ac:dyDescent="0.3">
      <c r="A63" s="7" t="s">
        <v>72</v>
      </c>
      <c r="B63" s="11"/>
      <c r="C63" s="11"/>
      <c r="D63" s="11"/>
      <c r="E63" s="11"/>
      <c r="F63" s="12"/>
      <c r="G63" s="4"/>
      <c r="H63" s="4"/>
    </row>
    <row r="64" spans="1:8" x14ac:dyDescent="0.3">
      <c r="A64" s="7" t="s">
        <v>73</v>
      </c>
      <c r="B64" s="11">
        <v>7.2426086956521737E-2</v>
      </c>
      <c r="C64" s="11">
        <v>3.4282608695652174E-2</v>
      </c>
      <c r="D64" s="11">
        <v>8.9624901364104268</v>
      </c>
      <c r="E64" s="11">
        <v>7.5383138171793451</v>
      </c>
      <c r="F64" s="12">
        <f t="shared" ref="F64:F91" si="3">E64/D64*100</f>
        <v>84.109591223477992</v>
      </c>
      <c r="G64" s="4">
        <v>3</v>
      </c>
      <c r="H64" s="11">
        <v>0.46900079697682129</v>
      </c>
    </row>
    <row r="65" spans="1:8" x14ac:dyDescent="0.3">
      <c r="A65" s="7" t="s">
        <v>74</v>
      </c>
      <c r="B65" s="11">
        <v>6.7378260869565221E-2</v>
      </c>
      <c r="C65" s="11">
        <v>3.0186956521739132E-2</v>
      </c>
      <c r="D65" s="11">
        <v>7.3249201602882321</v>
      </c>
      <c r="E65" s="11">
        <v>6.2195376245813412</v>
      </c>
      <c r="F65" s="12">
        <f t="shared" si="3"/>
        <v>84.909288954442403</v>
      </c>
      <c r="G65" s="4">
        <v>3</v>
      </c>
      <c r="H65" s="11">
        <v>0.47218295083911693</v>
      </c>
    </row>
    <row r="66" spans="1:8" x14ac:dyDescent="0.3">
      <c r="A66" s="7" t="s">
        <v>75</v>
      </c>
      <c r="B66" s="11">
        <v>6.279130434782608E-2</v>
      </c>
      <c r="C66" s="11">
        <v>2.5673913043478259E-2</v>
      </c>
      <c r="D66" s="11">
        <v>5.8971927230869587</v>
      </c>
      <c r="E66" s="11">
        <v>5.0650675460425978</v>
      </c>
      <c r="F66" s="12">
        <f t="shared" si="3"/>
        <v>85.889469513406453</v>
      </c>
      <c r="G66" s="4">
        <v>3</v>
      </c>
      <c r="H66" s="11">
        <v>0.38657913780369813</v>
      </c>
    </row>
    <row r="67" spans="1:8" x14ac:dyDescent="0.3">
      <c r="A67" s="7" t="s">
        <v>76</v>
      </c>
      <c r="B67" s="11">
        <v>5.6469565217391299E-2</v>
      </c>
      <c r="C67" s="11">
        <v>2.4826086956521737E-2</v>
      </c>
      <c r="D67" s="11">
        <v>3.6872391640599962</v>
      </c>
      <c r="E67" s="11">
        <v>3.2542332132890026</v>
      </c>
      <c r="F67" s="12">
        <f t="shared" si="3"/>
        <v>88.256635072887065</v>
      </c>
      <c r="G67" s="4">
        <v>3</v>
      </c>
      <c r="H67" s="11">
        <v>0.2338667065282434</v>
      </c>
    </row>
    <row r="68" spans="1:8" x14ac:dyDescent="0.3">
      <c r="A68" s="7" t="s">
        <v>77</v>
      </c>
      <c r="B68" s="11">
        <v>5.5139130434782607E-2</v>
      </c>
      <c r="C68" s="11">
        <v>1.5647826086956522E-2</v>
      </c>
      <c r="D68" s="11">
        <v>2.9028184524099752</v>
      </c>
      <c r="E68" s="11">
        <v>2.6467274769879445</v>
      </c>
      <c r="F68" s="12">
        <f t="shared" si="3"/>
        <v>91.177850781215099</v>
      </c>
      <c r="G68" s="4">
        <v>3</v>
      </c>
      <c r="H68" s="11">
        <v>0.21198492605399999</v>
      </c>
    </row>
    <row r="69" spans="1:8" x14ac:dyDescent="0.3">
      <c r="A69" s="7" t="s">
        <v>78</v>
      </c>
      <c r="B69" s="11">
        <v>5.5321739130434776E-2</v>
      </c>
      <c r="C69" s="11">
        <v>3.1752173913043476E-2</v>
      </c>
      <c r="D69" s="11">
        <v>2.3428111790200696</v>
      </c>
      <c r="E69" s="11">
        <v>2.1214450607066548</v>
      </c>
      <c r="F69" s="12">
        <f t="shared" si="3"/>
        <v>90.551260797466142</v>
      </c>
      <c r="G69" s="4">
        <v>3</v>
      </c>
      <c r="H69" s="11">
        <v>0.24463340354590149</v>
      </c>
    </row>
    <row r="70" spans="1:8" x14ac:dyDescent="0.3">
      <c r="A70" s="7" t="s">
        <v>79</v>
      </c>
      <c r="B70" s="11">
        <v>5.7017391304347825E-2</v>
      </c>
      <c r="C70" s="11">
        <v>5.3630434782608698E-2</v>
      </c>
      <c r="D70" s="11">
        <v>2.0027740385110353</v>
      </c>
      <c r="E70" s="11">
        <v>1.7964556681831121</v>
      </c>
      <c r="F70" s="12">
        <f t="shared" si="3"/>
        <v>89.698370042717812</v>
      </c>
      <c r="G70" s="4">
        <v>1</v>
      </c>
      <c r="H70" s="11">
        <v>0.29179744327696572</v>
      </c>
    </row>
    <row r="71" spans="1:8" x14ac:dyDescent="0.3">
      <c r="A71" s="7" t="s">
        <v>80</v>
      </c>
      <c r="B71" s="11">
        <v>4.8917391304347829E-2</v>
      </c>
      <c r="C71" s="11">
        <v>2.7873913043478259E-2</v>
      </c>
      <c r="D71" s="11">
        <v>4.4788455288610853</v>
      </c>
      <c r="E71" s="11">
        <v>3.7461885095541723</v>
      </c>
      <c r="F71" s="12">
        <f t="shared" si="3"/>
        <v>83.641833267395171</v>
      </c>
      <c r="G71" s="4">
        <v>3</v>
      </c>
      <c r="H71" s="11">
        <v>0.41448750944128532</v>
      </c>
    </row>
    <row r="72" spans="1:8" x14ac:dyDescent="0.3">
      <c r="A72" s="7" t="s">
        <v>81</v>
      </c>
      <c r="B72" s="11">
        <v>4.5239130434782601E-2</v>
      </c>
      <c r="C72" s="11">
        <v>2.478695652173913E-2</v>
      </c>
      <c r="D72" s="11">
        <v>3.6546777897347815</v>
      </c>
      <c r="E72" s="11">
        <v>3.0803105159490571</v>
      </c>
      <c r="F72" s="12">
        <f t="shared" si="3"/>
        <v>84.284051650216583</v>
      </c>
      <c r="G72" s="4">
        <v>3</v>
      </c>
      <c r="H72" s="11">
        <v>0.36413371139283174</v>
      </c>
    </row>
    <row r="73" spans="1:8" x14ac:dyDescent="0.3">
      <c r="A73" s="7" t="s">
        <v>82</v>
      </c>
      <c r="B73" s="11">
        <v>4.2182608695652171E-2</v>
      </c>
      <c r="C73" s="11">
        <v>2.4939130434782606E-2</v>
      </c>
      <c r="D73" s="11">
        <v>2.9395650375034656</v>
      </c>
      <c r="E73" s="11">
        <v>2.4731437807218688</v>
      </c>
      <c r="F73" s="12">
        <f t="shared" si="3"/>
        <v>84.132983933646102</v>
      </c>
      <c r="G73" s="4">
        <v>3</v>
      </c>
      <c r="H73" s="11">
        <v>0.29439034215252241</v>
      </c>
    </row>
    <row r="74" spans="1:8" x14ac:dyDescent="0.3">
      <c r="A74" s="7" t="s">
        <v>83</v>
      </c>
      <c r="B74" s="11">
        <v>3.8004347826086957E-2</v>
      </c>
      <c r="C74" s="11">
        <v>1.8543478260869564E-2</v>
      </c>
      <c r="D74" s="11">
        <v>1.8313650881418151</v>
      </c>
      <c r="E74" s="11">
        <v>1.6128361812710614</v>
      </c>
      <c r="F74" s="12">
        <f t="shared" si="3"/>
        <v>88.067430776870225</v>
      </c>
      <c r="G74" s="4">
        <v>3</v>
      </c>
      <c r="H74" s="11">
        <v>0.24654656989487994</v>
      </c>
    </row>
    <row r="75" spans="1:8" x14ac:dyDescent="0.3">
      <c r="A75" s="7" t="s">
        <v>84</v>
      </c>
      <c r="B75" s="11">
        <v>3.7178260869565216E-2</v>
      </c>
      <c r="C75" s="11">
        <v>1.7613043478260867E-2</v>
      </c>
      <c r="D75" s="11">
        <v>1.4429720962004511</v>
      </c>
      <c r="E75" s="11">
        <v>1.2664864120743105</v>
      </c>
      <c r="F75" s="12">
        <f t="shared" si="3"/>
        <v>87.76929335010341</v>
      </c>
      <c r="G75" s="4">
        <v>3</v>
      </c>
      <c r="H75" s="11">
        <v>0.25584616318127223</v>
      </c>
    </row>
    <row r="76" spans="1:8" x14ac:dyDescent="0.3">
      <c r="A76" s="7" t="s">
        <v>85</v>
      </c>
      <c r="B76" s="11">
        <v>3.738695652173913E-2</v>
      </c>
      <c r="C76" s="11">
        <v>3.1869565217391302E-2</v>
      </c>
      <c r="D76" s="11">
        <v>1.1650870042401511</v>
      </c>
      <c r="E76" s="11">
        <v>1.0395800677424556</v>
      </c>
      <c r="F76" s="12">
        <f t="shared" si="3"/>
        <v>89.227676899584949</v>
      </c>
      <c r="G76" s="4">
        <v>3</v>
      </c>
      <c r="H76" s="11">
        <v>0.26925991157171419</v>
      </c>
    </row>
    <row r="77" spans="1:8" x14ac:dyDescent="0.3">
      <c r="A77" s="7" t="s">
        <v>86</v>
      </c>
      <c r="B77" s="11">
        <v>3.8069565217391299E-2</v>
      </c>
      <c r="C77" s="11">
        <v>4.6160869565217387E-2</v>
      </c>
      <c r="D77" s="11">
        <v>0.99270019744680393</v>
      </c>
      <c r="E77" s="11">
        <v>0.87003049442698688</v>
      </c>
      <c r="F77" s="12">
        <f t="shared" si="3"/>
        <v>87.64282475864114</v>
      </c>
      <c r="G77" s="4">
        <v>3</v>
      </c>
      <c r="H77" s="11">
        <v>0.31695753891446771</v>
      </c>
    </row>
    <row r="78" spans="1:8" x14ac:dyDescent="0.3">
      <c r="A78" s="7" t="s">
        <v>87</v>
      </c>
      <c r="B78" s="11">
        <v>4.0747826086956519E-2</v>
      </c>
      <c r="C78" s="11">
        <v>2.4999999999999998E-2</v>
      </c>
      <c r="D78" s="11">
        <v>3.3082722479976936</v>
      </c>
      <c r="E78" s="11">
        <v>2.7521728165227071</v>
      </c>
      <c r="F78" s="12">
        <f t="shared" si="3"/>
        <v>83.19063880514787</v>
      </c>
      <c r="G78" s="4">
        <v>3</v>
      </c>
      <c r="H78" s="11">
        <v>0.35654793028197196</v>
      </c>
    </row>
    <row r="79" spans="1:8" x14ac:dyDescent="0.3">
      <c r="A79" s="7" t="s">
        <v>88</v>
      </c>
      <c r="B79" s="11">
        <v>3.7699999999999997E-2</v>
      </c>
      <c r="C79" s="11">
        <v>2.461304347826087E-2</v>
      </c>
      <c r="D79" s="11">
        <v>2.6992759803207655</v>
      </c>
      <c r="E79" s="11">
        <v>2.2324949950747239</v>
      </c>
      <c r="F79" s="12">
        <f t="shared" si="3"/>
        <v>82.707178197074455</v>
      </c>
      <c r="G79" s="4">
        <v>3</v>
      </c>
      <c r="H79" s="11">
        <v>0.31525508237326644</v>
      </c>
    </row>
    <row r="80" spans="1:8" x14ac:dyDescent="0.3">
      <c r="A80" s="7" t="s">
        <v>89</v>
      </c>
      <c r="B80" s="11">
        <v>3.5204347826086953E-2</v>
      </c>
      <c r="C80" s="11">
        <v>2.4239130434782607E-2</v>
      </c>
      <c r="D80" s="11">
        <v>2.1689282803209622</v>
      </c>
      <c r="E80" s="11">
        <v>1.8199378424946695</v>
      </c>
      <c r="F80" s="12">
        <f t="shared" si="3"/>
        <v>83.909544589706371</v>
      </c>
      <c r="G80" s="4">
        <v>3</v>
      </c>
      <c r="H80" s="11">
        <v>0.22489919501279848</v>
      </c>
    </row>
    <row r="81" spans="1:8" x14ac:dyDescent="0.3">
      <c r="A81" s="7" t="s">
        <v>90</v>
      </c>
      <c r="B81" s="11">
        <v>3.1878260869565217E-2</v>
      </c>
      <c r="C81" s="11">
        <v>1.6234782608695653E-2</v>
      </c>
      <c r="D81" s="11">
        <v>1.3527908235638875</v>
      </c>
      <c r="E81" s="11">
        <v>1.1865997182384447</v>
      </c>
      <c r="F81" s="12">
        <f t="shared" si="3"/>
        <v>87.714944363119102</v>
      </c>
      <c r="G81" s="4">
        <v>3</v>
      </c>
      <c r="H81" s="11">
        <v>0.2299593274865111</v>
      </c>
    </row>
    <row r="82" spans="1:8" x14ac:dyDescent="0.3">
      <c r="A82" s="7" t="s">
        <v>91</v>
      </c>
      <c r="B82" s="11">
        <v>3.1243478260869564E-2</v>
      </c>
      <c r="C82" s="11">
        <v>1.9230434782608694E-2</v>
      </c>
      <c r="D82" s="11">
        <v>1.0649473784671801</v>
      </c>
      <c r="E82" s="11">
        <v>0.92983060955013064</v>
      </c>
      <c r="F82" s="12">
        <f t="shared" si="3"/>
        <v>87.312352549143952</v>
      </c>
      <c r="G82" s="4">
        <v>3</v>
      </c>
      <c r="H82" s="11">
        <v>0.25457028841910662</v>
      </c>
    </row>
    <row r="83" spans="1:8" x14ac:dyDescent="0.3">
      <c r="A83" s="7" t="s">
        <v>92</v>
      </c>
      <c r="B83" s="11">
        <v>3.1195652173913041E-2</v>
      </c>
      <c r="C83" s="11">
        <v>3.0899999999999997E-2</v>
      </c>
      <c r="D83" s="11">
        <v>0.85558036299172013</v>
      </c>
      <c r="E83" s="11">
        <v>0.7521262525782616</v>
      </c>
      <c r="F83" s="12">
        <f t="shared" si="3"/>
        <v>87.908311727526211</v>
      </c>
      <c r="G83" s="4">
        <v>3</v>
      </c>
      <c r="H83" s="11">
        <v>0.26680585942160412</v>
      </c>
    </row>
    <row r="84" spans="1:8" x14ac:dyDescent="0.3">
      <c r="A84" s="7" t="s">
        <v>93</v>
      </c>
      <c r="B84" s="11">
        <v>3.1578260869565215E-2</v>
      </c>
      <c r="C84" s="11">
        <v>4.3030434782608692E-2</v>
      </c>
      <c r="D84" s="11">
        <v>0.73096456800379883</v>
      </c>
      <c r="E84" s="11">
        <v>0.63255280455262664</v>
      </c>
      <c r="F84" s="12">
        <f t="shared" si="3"/>
        <v>86.536725888106147</v>
      </c>
      <c r="G84" s="4">
        <v>3</v>
      </c>
      <c r="H84" s="11">
        <v>0.31068091448092039</v>
      </c>
    </row>
    <row r="85" spans="1:8" x14ac:dyDescent="0.3">
      <c r="A85" s="7" t="s">
        <v>94</v>
      </c>
      <c r="B85" s="11">
        <v>3.2682608695652177E-2</v>
      </c>
      <c r="C85" s="11">
        <v>2.4334782608695652E-2</v>
      </c>
      <c r="D85" s="11">
        <v>2.3097925721590773</v>
      </c>
      <c r="E85" s="11">
        <v>1.8832700612603068</v>
      </c>
      <c r="F85" s="12">
        <f t="shared" si="3"/>
        <v>81.534163888141748</v>
      </c>
      <c r="G85" s="4">
        <v>3</v>
      </c>
      <c r="H85" s="11">
        <v>0.29073934626120329</v>
      </c>
    </row>
    <row r="86" spans="1:8" x14ac:dyDescent="0.3">
      <c r="A86" s="7" t="s">
        <v>95</v>
      </c>
      <c r="B86" s="11">
        <v>3.0313043478260866E-2</v>
      </c>
      <c r="C86" s="11">
        <v>2.408260869565217E-2</v>
      </c>
      <c r="D86" s="11">
        <v>1.8825516520596095</v>
      </c>
      <c r="E86" s="11">
        <v>1.5498205920499666</v>
      </c>
      <c r="F86" s="12">
        <f t="shared" si="3"/>
        <v>82.325528245367522</v>
      </c>
      <c r="G86" s="4">
        <v>3</v>
      </c>
      <c r="H86" s="11">
        <v>0.23344261648614481</v>
      </c>
    </row>
    <row r="87" spans="1:8" x14ac:dyDescent="0.3">
      <c r="A87" s="7" t="s">
        <v>96</v>
      </c>
      <c r="B87" s="11">
        <v>2.842608695652174E-2</v>
      </c>
      <c r="C87" s="11">
        <v>2.2299999999999997E-2</v>
      </c>
      <c r="D87" s="11">
        <v>1.5158722598590866</v>
      </c>
      <c r="E87" s="11">
        <v>1.2653918230837446</v>
      </c>
      <c r="F87" s="12">
        <f t="shared" si="3"/>
        <v>83.476151427256397</v>
      </c>
      <c r="G87" s="4">
        <v>3</v>
      </c>
      <c r="H87" s="11">
        <v>0.21372240755152735</v>
      </c>
    </row>
    <row r="88" spans="1:8" x14ac:dyDescent="0.3">
      <c r="A88" s="7" t="s">
        <v>97</v>
      </c>
      <c r="B88" s="11">
        <v>2.598695652173913E-2</v>
      </c>
      <c r="C88" s="11">
        <v>1.3921739130434782E-2</v>
      </c>
      <c r="D88" s="11">
        <v>0.94456462528841911</v>
      </c>
      <c r="E88" s="11">
        <v>0.82358792913234502</v>
      </c>
      <c r="F88" s="12">
        <f t="shared" si="3"/>
        <v>87.192332539540701</v>
      </c>
      <c r="G88" s="4">
        <v>3</v>
      </c>
      <c r="H88" s="11">
        <v>0.22760120843258239</v>
      </c>
    </row>
    <row r="89" spans="1:8" x14ac:dyDescent="0.3">
      <c r="A89" s="7" t="s">
        <v>98</v>
      </c>
      <c r="B89" s="11">
        <v>2.5291304347826088E-2</v>
      </c>
      <c r="C89" s="11">
        <v>2.0169565217391303E-2</v>
      </c>
      <c r="D89" s="11">
        <v>0.74045080966772392</v>
      </c>
      <c r="E89" s="11">
        <v>0.63875392286260091</v>
      </c>
      <c r="F89" s="12">
        <f t="shared" si="3"/>
        <v>86.265544519998656</v>
      </c>
      <c r="G89" s="4">
        <v>3</v>
      </c>
      <c r="H89" s="11">
        <v>0.2477812456470532</v>
      </c>
    </row>
    <row r="90" spans="1:8" x14ac:dyDescent="0.3">
      <c r="A90" s="7" t="s">
        <v>99</v>
      </c>
      <c r="B90" s="11">
        <v>2.4999999999999998E-2</v>
      </c>
      <c r="C90" s="11">
        <v>2.9478260869565214E-2</v>
      </c>
      <c r="D90" s="11">
        <v>0.59396369533174842</v>
      </c>
      <c r="E90" s="11">
        <v>0.51726715103206522</v>
      </c>
      <c r="F90" s="12">
        <f t="shared" si="3"/>
        <v>87.087334646464271</v>
      </c>
      <c r="G90" s="4">
        <v>3</v>
      </c>
      <c r="H90" s="11">
        <v>0.27348992220552554</v>
      </c>
    </row>
    <row r="91" spans="1:8" x14ac:dyDescent="0.3">
      <c r="A91" s="7" t="s">
        <v>100</v>
      </c>
      <c r="B91" s="11">
        <v>2.561304347826087E-2</v>
      </c>
      <c r="C91" s="11">
        <v>4.0195652173913042E-2</v>
      </c>
      <c r="D91" s="11">
        <v>0.50983829023001492</v>
      </c>
      <c r="E91" s="11">
        <v>0.43251089596674436</v>
      </c>
      <c r="F91" s="12">
        <f t="shared" si="3"/>
        <v>84.832956695272117</v>
      </c>
      <c r="G91" s="4">
        <v>3</v>
      </c>
      <c r="H91" s="11">
        <v>0.28699368083360638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soli-slope10</vt:lpstr>
      <vt:lpstr>soli-slope10B</vt:lpstr>
      <vt:lpstr>soli-slope20</vt:lpstr>
      <vt:lpstr>soli-slope40</vt:lpstr>
      <vt:lpstr>LDN-parameters</vt:lpstr>
      <vt:lpstr>LDN-slope10</vt:lpstr>
      <vt:lpstr>LDN-slope10B</vt:lpstr>
      <vt:lpstr>LDN-slope20</vt:lpstr>
      <vt:lpstr>LDN-slope40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NTU LO</dc:creator>
  <cp:lastModifiedBy>Lo</cp:lastModifiedBy>
  <dcterms:created xsi:type="dcterms:W3CDTF">2015-06-05T18:17:20Z</dcterms:created>
  <dcterms:modified xsi:type="dcterms:W3CDTF">2026-03-21T06:35:41Z</dcterms:modified>
</cp:coreProperties>
</file>